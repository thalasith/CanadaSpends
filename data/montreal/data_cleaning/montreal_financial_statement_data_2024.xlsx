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Projects\CanadaSpends\data\montreal\data_cleaning\"/>
    </mc:Choice>
  </mc:AlternateContent>
  <xr:revisionPtr revIDLastSave="0" documentId="13_ncr:1_{839227DD-0962-40E4-A6C3-FC0EA27AC895}" xr6:coauthVersionLast="47" xr6:coauthVersionMax="47" xr10:uidLastSave="{00000000-0000-0000-0000-000000000000}"/>
  <bookViews>
    <workbookView xWindow="-120" yWindow="-120" windowWidth="29040" windowHeight="15720" activeTab="1" xr2:uid="{BF1821EE-C325-4E8C-A214-4DEB8EEAC78D}"/>
  </bookViews>
  <sheets>
    <sheet name="Checker" sheetId="7" r:id="rId1"/>
    <sheet name="cleaned_data" sheetId="6" r:id="rId2"/>
    <sheet name="tables_for_summary" sheetId="8" r:id="rId3"/>
    <sheet name="Revenue" sheetId="2" r:id="rId4"/>
    <sheet name="Expenses" sheetId="3" r:id="rId5"/>
    <sheet name="tca_net_calculation" sheetId="5" r:id="rId6"/>
    <sheet name="2024_financial_report_raw_data" sheetId="1" r:id="rId7"/>
    <sheet name="Sheet1" sheetId="9" r:id="rId8"/>
    <sheet name="miscellaneous" sheetId="4" r:id="rId9"/>
  </sheets>
  <definedNames>
    <definedName name="_xlnm._FilterDatabase" localSheetId="5" hidden="1">tca_net_calculation!$B$4:$F$17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9" l="1"/>
  <c r="F12" i="9"/>
  <c r="F8" i="9"/>
  <c r="F6" i="9"/>
  <c r="F5" i="9"/>
  <c r="F3" i="9"/>
  <c r="F2" i="9"/>
  <c r="F1" i="9"/>
  <c r="F11" i="9"/>
  <c r="F10" i="9"/>
  <c r="F9" i="9"/>
  <c r="F7" i="9"/>
  <c r="F4" i="9"/>
  <c r="B29" i="9"/>
  <c r="B25" i="9"/>
  <c r="B21" i="9"/>
  <c r="B17" i="9"/>
  <c r="B13" i="9"/>
  <c r="B10" i="9"/>
  <c r="B6" i="9"/>
  <c r="B3" i="9"/>
  <c r="F22" i="6"/>
  <c r="C3" i="8"/>
  <c r="C2" i="8"/>
  <c r="C7" i="8" s="1"/>
  <c r="C8" i="8"/>
  <c r="C7" i="7"/>
  <c r="C5" i="7"/>
  <c r="C4" i="8" l="1"/>
  <c r="C4" i="7"/>
  <c r="C6" i="7" s="1"/>
  <c r="C8" i="7" s="1"/>
  <c r="D11" i="8"/>
  <c r="D14" i="8"/>
  <c r="D16" i="8"/>
  <c r="D12" i="8"/>
  <c r="D13" i="8"/>
  <c r="D15" i="8"/>
  <c r="D17" i="8"/>
  <c r="F24" i="2" l="1"/>
  <c r="E17" i="5"/>
  <c r="D17" i="5"/>
  <c r="E23" i="1"/>
  <c r="C15" i="5"/>
  <c r="C14" i="5"/>
  <c r="C13" i="5"/>
  <c r="C12" i="5"/>
  <c r="C11" i="5"/>
  <c r="C10" i="5"/>
  <c r="C9" i="5"/>
  <c r="C8" i="5"/>
  <c r="C7" i="5"/>
  <c r="C6" i="5"/>
  <c r="C5" i="5"/>
  <c r="E16" i="5"/>
  <c r="D16" i="5"/>
  <c r="B215" i="1"/>
  <c r="B33" i="1"/>
  <c r="B27" i="1"/>
  <c r="B9" i="4"/>
  <c r="B7" i="4"/>
  <c r="B206" i="1"/>
  <c r="B205" i="1"/>
  <c r="B208" i="1" s="1"/>
  <c r="B15" i="4" s="1"/>
  <c r="B204" i="1"/>
  <c r="B14" i="4" s="1"/>
  <c r="B201" i="1"/>
  <c r="B13" i="4" s="1"/>
  <c r="B198" i="1"/>
  <c r="B194" i="1"/>
  <c r="B192" i="1"/>
  <c r="B190" i="1"/>
  <c r="B188" i="1"/>
  <c r="B186" i="1"/>
  <c r="B184" i="1"/>
  <c r="B182" i="1"/>
  <c r="B179" i="1"/>
  <c r="B177" i="1"/>
  <c r="B175" i="1"/>
  <c r="B172" i="1"/>
  <c r="B10" i="4" s="1"/>
  <c r="B169" i="1"/>
  <c r="B166" i="1"/>
  <c r="B162" i="1"/>
  <c r="B158" i="1"/>
  <c r="B154" i="1"/>
  <c r="B151" i="1"/>
  <c r="B8" i="4" s="1"/>
  <c r="B149" i="1"/>
  <c r="B145" i="1"/>
  <c r="B141" i="1"/>
  <c r="B137" i="1"/>
  <c r="B133" i="1"/>
  <c r="B6" i="4" s="1"/>
  <c r="B129" i="1"/>
  <c r="B5" i="4" s="1"/>
  <c r="B126" i="1"/>
  <c r="B123" i="1"/>
  <c r="B4" i="4" s="1"/>
  <c r="B120" i="1"/>
  <c r="B116" i="1"/>
  <c r="B273" i="1"/>
  <c r="B271" i="1"/>
  <c r="B268" i="1"/>
  <c r="B263" i="1"/>
  <c r="B260" i="1"/>
  <c r="B257" i="1"/>
  <c r="B250" i="1"/>
  <c r="B245" i="1"/>
  <c r="B238" i="1"/>
  <c r="B228" i="1"/>
  <c r="B216" i="1"/>
  <c r="B108" i="1"/>
  <c r="B104" i="1"/>
  <c r="B100" i="1"/>
  <c r="B96" i="1"/>
  <c r="B92" i="1"/>
  <c r="B89" i="1"/>
  <c r="B85" i="1"/>
  <c r="B82" i="1"/>
  <c r="B76" i="1"/>
  <c r="B73" i="1"/>
  <c r="B71" i="1"/>
  <c r="B66" i="1"/>
  <c r="B63" i="1"/>
  <c r="B59" i="1"/>
  <c r="B55" i="1"/>
  <c r="B53" i="1"/>
  <c r="B51" i="1"/>
  <c r="B47" i="1"/>
  <c r="B43" i="1"/>
  <c r="B41" i="1"/>
  <c r="B39" i="1"/>
  <c r="B32" i="1"/>
  <c r="B21" i="1"/>
  <c r="B110" i="1" s="1"/>
  <c r="B12" i="1"/>
  <c r="B78" i="1" s="1"/>
  <c r="C16" i="5" l="1"/>
  <c r="B11" i="4"/>
  <c r="B16" i="4"/>
  <c r="B209" i="1"/>
  <c r="B3" i="4"/>
  <c r="B12" i="4" s="1"/>
  <c r="B17" i="4" s="1"/>
  <c r="B18" i="4"/>
  <c r="B272" i="1"/>
  <c r="B261" i="1"/>
  <c r="B262" i="1" s="1"/>
  <c r="B109" i="1"/>
  <c r="B22" i="1"/>
  <c r="B77" i="1"/>
  <c r="D18" i="4" l="1"/>
</calcChain>
</file>

<file path=xl/sharedStrings.xml><?xml version="1.0" encoding="utf-8"?>
<sst xmlns="http://schemas.openxmlformats.org/spreadsheetml/2006/main" count="892" uniqueCount="183">
  <si>
    <t>Revenue</t>
  </si>
  <si>
    <t>Taxes</t>
  </si>
  <si>
    <t>Payments in lieu of taxes</t>
  </si>
  <si>
    <t>Transfers</t>
  </si>
  <si>
    <t>Service rendered</t>
  </si>
  <si>
    <t>Fee Collection</t>
  </si>
  <si>
    <t>Fines and penalties</t>
  </si>
  <si>
    <t>Portfolio investment income</t>
  </si>
  <si>
    <t>Other Interest Income</t>
  </si>
  <si>
    <t>Other Revenues</t>
  </si>
  <si>
    <t>Total</t>
  </si>
  <si>
    <t>Total Revenue</t>
  </si>
  <si>
    <t>General Administration</t>
  </si>
  <si>
    <t>Public Security</t>
  </si>
  <si>
    <t>Transportation</t>
  </si>
  <si>
    <t>Environmental Hygiene</t>
  </si>
  <si>
    <t>Health and Welfare</t>
  </si>
  <si>
    <t>Recreation and Culture</t>
  </si>
  <si>
    <t>Financing Expenses</t>
  </si>
  <si>
    <t>Total Expenditure</t>
  </si>
  <si>
    <t>Surplus</t>
  </si>
  <si>
    <t>Acquisition</t>
  </si>
  <si>
    <t>Proceeds from disposal</t>
  </si>
  <si>
    <t>Amortization</t>
  </si>
  <si>
    <t>Loss on disposal / write-off</t>
  </si>
  <si>
    <t>Total TCA</t>
  </si>
  <si>
    <t>Change in assets held for sale</t>
  </si>
  <si>
    <t>Change in inventories</t>
  </si>
  <si>
    <t>Change in other non-financial assets</t>
  </si>
  <si>
    <t>Net remeasurement losses for the year</t>
  </si>
  <si>
    <t>Total in Non-Tangible Capital Assets</t>
  </si>
  <si>
    <t>Change in Net Debt</t>
  </si>
  <si>
    <t>Notes</t>
  </si>
  <si>
    <t>Municipal administration</t>
  </si>
  <si>
    <t>Eliminations</t>
  </si>
  <si>
    <t>Total Taxes</t>
  </si>
  <si>
    <t>Total Payments in lieu of taxes</t>
  </si>
  <si>
    <t>Total Quota Shares</t>
  </si>
  <si>
    <t>Controlled Organizations</t>
  </si>
  <si>
    <t>Total Transfers</t>
  </si>
  <si>
    <t>Total Services Rendered</t>
  </si>
  <si>
    <t>Total Fee Collection</t>
  </si>
  <si>
    <t>Total Fines and penalties</t>
  </si>
  <si>
    <t>Total Portfolio Investment Income</t>
  </si>
  <si>
    <t>Total Other Interest Income</t>
  </si>
  <si>
    <t>Total Other Revenues</t>
  </si>
  <si>
    <t>Total Investment in TCA Transfers</t>
  </si>
  <si>
    <t>Total Investment in Developer's Contributions</t>
  </si>
  <si>
    <t>Total Investment in Other Revenues</t>
  </si>
  <si>
    <t>Checker</t>
  </si>
  <si>
    <t>Operations Breakdown</t>
  </si>
  <si>
    <t>Investments Breakdown</t>
  </si>
  <si>
    <t>Expenditures</t>
  </si>
  <si>
    <t>Total General Administration</t>
  </si>
  <si>
    <t>Total Public Security</t>
  </si>
  <si>
    <t>Total Transportation</t>
  </si>
  <si>
    <t>Total Environmental Hygiene</t>
  </si>
  <si>
    <t>Total Health and Welfare</t>
  </si>
  <si>
    <t>Total Urban planning and Development</t>
  </si>
  <si>
    <t>Total Recreation and Culture</t>
  </si>
  <si>
    <t>Total Financing Expenses</t>
  </si>
  <si>
    <t>Note 16</t>
  </si>
  <si>
    <t>Acquisitions from Statement of Operations</t>
  </si>
  <si>
    <t>Amortization from Statement of Operations</t>
  </si>
  <si>
    <t>Infrastructures</t>
  </si>
  <si>
    <t>Note 16 - TCA</t>
  </si>
  <si>
    <t>Metro System - Infrastructures</t>
  </si>
  <si>
    <t>Metro System - Tunnels</t>
  </si>
  <si>
    <t>Metro cars</t>
  </si>
  <si>
    <t>Buildings</t>
  </si>
  <si>
    <t>Leasehold Improvements</t>
  </si>
  <si>
    <t>Vehicles</t>
  </si>
  <si>
    <t>Office furniture and equipment</t>
  </si>
  <si>
    <t>Machinery, tools and equipment</t>
  </si>
  <si>
    <t>Land</t>
  </si>
  <si>
    <t>Other</t>
  </si>
  <si>
    <t>Total Acquisitions</t>
  </si>
  <si>
    <t>Total Amortization</t>
  </si>
  <si>
    <t>Note 19</t>
  </si>
  <si>
    <t>Government of Canada</t>
  </si>
  <si>
    <t>Government of Quebec</t>
  </si>
  <si>
    <t>Communaute metropolitaine de Montreal</t>
  </si>
  <si>
    <t>Total Transfers - Operating Activities</t>
  </si>
  <si>
    <t>Gas tax program and the Quebec government contribution</t>
  </si>
  <si>
    <t>Canada transfer programs - Quebec</t>
  </si>
  <si>
    <t>Canada transfer programs - Municipality</t>
  </si>
  <si>
    <t>Government public transit assistance program</t>
  </si>
  <si>
    <t>Government Assistance Program for public transit infrastructure</t>
  </si>
  <si>
    <t>Quebec transfer programs - Municipality</t>
  </si>
  <si>
    <t>Total Other</t>
  </si>
  <si>
    <t>Total Transfers - Investing Activities</t>
  </si>
  <si>
    <t>Note 20</t>
  </si>
  <si>
    <t>Restricted to the Sinking Fund</t>
  </si>
  <si>
    <t>Unrestricted</t>
  </si>
  <si>
    <t>Total Portfolio Investments</t>
  </si>
  <si>
    <t>Tax arrears</t>
  </si>
  <si>
    <t>Interest on cash and other interest</t>
  </si>
  <si>
    <t>Total Interest Income</t>
  </si>
  <si>
    <t>Quota shares</t>
  </si>
  <si>
    <t>Statement of Operations</t>
  </si>
  <si>
    <t>Schedule 2 - Consolidated Operations and Accumulated Operating Surplus Itemized by Organization</t>
  </si>
  <si>
    <t>Total Expenditures</t>
  </si>
  <si>
    <t>Total Revenues</t>
  </si>
  <si>
    <t>Schedule 5 - Consolidated Expenditures By Item and By Organization</t>
  </si>
  <si>
    <t>Total Employees</t>
  </si>
  <si>
    <t>Remuneration</t>
  </si>
  <si>
    <t>Total Remuneration - Elected Officials</t>
  </si>
  <si>
    <t>Total Remuneration - Employees</t>
  </si>
  <si>
    <t>Total Benefit Costs - Elected Officials</t>
  </si>
  <si>
    <t>Total Benefit Costs - Employees</t>
  </si>
  <si>
    <t>Transportation and Communication</t>
  </si>
  <si>
    <t>Total Professional Fees</t>
  </si>
  <si>
    <t>Purchase of Technical Services</t>
  </si>
  <si>
    <t>Professional, technical and other services</t>
  </si>
  <si>
    <t>Total Other Services</t>
  </si>
  <si>
    <t>Leasing</t>
  </si>
  <si>
    <t>Maintenance and Repair</t>
  </si>
  <si>
    <t>Construction</t>
  </si>
  <si>
    <t>Other Durable Goods</t>
  </si>
  <si>
    <t>Durable Goods</t>
  </si>
  <si>
    <t>Leasing, maintenance and repair</t>
  </si>
  <si>
    <t>Delivery of Public Services</t>
  </si>
  <si>
    <t>Other non-durable Goods</t>
  </si>
  <si>
    <t>Non-durable goods</t>
  </si>
  <si>
    <t>The Municipality</t>
  </si>
  <si>
    <t>Government of Quebec and its enterprises</t>
  </si>
  <si>
    <t>Other Third parties</t>
  </si>
  <si>
    <t>Other Financing Expenses</t>
  </si>
  <si>
    <t>Quota shares - Communaute metropolitaine de Montreal</t>
  </si>
  <si>
    <t>Quota Shares - Autorite Regionale de Transport Metropolitan</t>
  </si>
  <si>
    <t>Government Organizations</t>
  </si>
  <si>
    <t>Promotion and Economic Development</t>
  </si>
  <si>
    <t>Housing</t>
  </si>
  <si>
    <t>Social Development</t>
  </si>
  <si>
    <t>Urban Renovation</t>
  </si>
  <si>
    <t>Amortization of TCA</t>
  </si>
  <si>
    <t>Loss on Disposal / Write-off of TCA</t>
  </si>
  <si>
    <t>Other Objects</t>
  </si>
  <si>
    <t>Urban Planning and Development</t>
  </si>
  <si>
    <t>Portfolio Investment Income</t>
  </si>
  <si>
    <t>Benefit Cost</t>
  </si>
  <si>
    <t>Professional Fees</t>
  </si>
  <si>
    <t>Leasing and repairs</t>
  </si>
  <si>
    <t>Non Durable Goods</t>
  </si>
  <si>
    <t>Contributions to organizations</t>
  </si>
  <si>
    <t>Loss of disposable / write off</t>
  </si>
  <si>
    <t>Total operations</t>
  </si>
  <si>
    <t>Tota Investing</t>
  </si>
  <si>
    <t>spending</t>
  </si>
  <si>
    <t>Tangible Capital Assets</t>
  </si>
  <si>
    <t>Non-Tangible Capital Assets</t>
  </si>
  <si>
    <t>Expenditure</t>
  </si>
  <si>
    <t>spend</t>
  </si>
  <si>
    <t>expend</t>
  </si>
  <si>
    <t>revenue</t>
  </si>
  <si>
    <t>Difference</t>
  </si>
  <si>
    <t>Acquisitions</t>
  </si>
  <si>
    <t>TCA Category</t>
  </si>
  <si>
    <t>Categorization</t>
  </si>
  <si>
    <t>See TCA net calculation tab</t>
  </si>
  <si>
    <t>Source</t>
  </si>
  <si>
    <t>Note 19 - Combined with Gov of Quebec Other</t>
  </si>
  <si>
    <t>source</t>
  </si>
  <si>
    <t>value</t>
  </si>
  <si>
    <t>Spending</t>
  </si>
  <si>
    <t>SURPLUS FROM "CLEANED DATA"</t>
  </si>
  <si>
    <t>SURPLUS FROM "RAW_DATA"</t>
  </si>
  <si>
    <t>sankey_1</t>
  </si>
  <si>
    <t>sankey_2</t>
  </si>
  <si>
    <t>Population (rounded)</t>
  </si>
  <si>
    <t>Spend Per Capita</t>
  </si>
  <si>
    <t>Property Tax Per Capita</t>
  </si>
  <si>
    <t>Tax Revenue</t>
  </si>
  <si>
    <t>Net difference</t>
  </si>
  <si>
    <t>https://montreal.ca/en/articles/five-reasons-to-work-city-montreal-2937#:~:text=Join%20the%2028%2C000%2Dstrong%20employees%20of%20the%20city.</t>
  </si>
  <si>
    <t>States: Join the 28,000-strong employees of the city.</t>
  </si>
  <si>
    <t>Operating Activities</t>
  </si>
  <si>
    <t>Investing Activities</t>
  </si>
  <si>
    <t>sankey_3</t>
  </si>
  <si>
    <t>sankey_4</t>
  </si>
  <si>
    <t>sankey_5</t>
  </si>
  <si>
    <t>Municipal administration less Eliminations</t>
  </si>
  <si>
    <t>Urban planning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</si>
</sst>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0" fillId="0" borderId="0" xfId="1" applyNumberFormat="1" applyFont="1"/>
    <xf numFmtId="0" fontId="4" fillId="0" borderId="0" xfId="2"/>
  </cellXfs>
  <cellStyles count="3">
    <cellStyle name="Hyperlink" xfId="2" builtinId="8"/>
    <cellStyle name="Normal" xfId="0" builtinId="0"/>
    <cellStyle name="Per 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ntreal.ca/en/articles/five-reasons-to-work-city-montreal-2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83B8-CD23-4750-8636-1C2416EF246E}">
  <dimension ref="B4:C8"/>
  <sheetViews>
    <sheetView workbookViewId="0">
      <selection activeCell="B13" sqref="B13"/>
    </sheetView>
  </sheetViews>
  <sheetFormatPr defaultRowHeight="15" x14ac:dyDescent="0.25"/>
  <cols>
    <col min="2" max="2" width="31.7109375" bestFit="1" customWidth="1"/>
    <col min="3" max="3" width="10.140625" bestFit="1" customWidth="1"/>
  </cols>
  <sheetData>
    <row r="4" spans="2:3" x14ac:dyDescent="0.25">
      <c r="B4" t="s">
        <v>0</v>
      </c>
      <c r="C4" s="2">
        <f>SUMIFS(cleaned_data!$F$2:$F$56,cleaned_data!$E$2:$E$56,Checker!B4)</f>
        <v>9803882</v>
      </c>
    </row>
    <row r="5" spans="2:3" x14ac:dyDescent="0.25">
      <c r="B5" t="s">
        <v>164</v>
      </c>
      <c r="C5" s="2">
        <f>SUMIFS(cleaned_data!$F$2:$F$56,cleaned_data!$E$2:$E$56,Checker!B5)</f>
        <v>10691929</v>
      </c>
    </row>
    <row r="6" spans="2:3" x14ac:dyDescent="0.25">
      <c r="B6" s="3" t="s">
        <v>165</v>
      </c>
      <c r="C6" s="4">
        <f>C4-C5</f>
        <v>-888047</v>
      </c>
    </row>
    <row r="7" spans="2:3" x14ac:dyDescent="0.25">
      <c r="B7" s="3" t="s">
        <v>166</v>
      </c>
      <c r="C7" s="4">
        <f>'2024_financial_report_raw_data'!B33</f>
        <v>-888047</v>
      </c>
    </row>
    <row r="8" spans="2:3" x14ac:dyDescent="0.25">
      <c r="C8" s="2">
        <f>C6-C7</f>
        <v>0</v>
      </c>
    </row>
  </sheetData>
  <conditionalFormatting sqref="C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5F93-8333-4F82-B301-EF277042A533}">
  <dimension ref="A1:G56"/>
  <sheetViews>
    <sheetView tabSelected="1" workbookViewId="0">
      <selection activeCell="B24" sqref="B24"/>
    </sheetView>
  </sheetViews>
  <sheetFormatPr defaultRowHeight="15" x14ac:dyDescent="0.25"/>
  <cols>
    <col min="2" max="2" width="58.7109375" bestFit="1" customWidth="1"/>
    <col min="3" max="3" width="38.140625" bestFit="1" customWidth="1"/>
    <col min="4" max="4" width="28.42578125" bestFit="1" customWidth="1"/>
    <col min="5" max="5" width="16" bestFit="1" customWidth="1"/>
    <col min="7" max="7" width="41.5703125" bestFit="1" customWidth="1"/>
  </cols>
  <sheetData>
    <row r="1" spans="1:7" x14ac:dyDescent="0.25">
      <c r="A1" t="s">
        <v>180</v>
      </c>
      <c r="B1" t="s">
        <v>179</v>
      </c>
      <c r="C1" t="s">
        <v>178</v>
      </c>
      <c r="D1" t="s">
        <v>168</v>
      </c>
      <c r="E1" t="s">
        <v>167</v>
      </c>
      <c r="F1" t="s">
        <v>163</v>
      </c>
      <c r="G1" t="s">
        <v>162</v>
      </c>
    </row>
    <row r="2" spans="1:7" x14ac:dyDescent="0.25">
      <c r="D2" t="s">
        <v>1</v>
      </c>
      <c r="E2" t="s">
        <v>154</v>
      </c>
      <c r="F2" s="2">
        <v>4174298</v>
      </c>
    </row>
    <row r="3" spans="1:7" x14ac:dyDescent="0.25">
      <c r="D3" t="s">
        <v>2</v>
      </c>
      <c r="E3" t="s">
        <v>154</v>
      </c>
      <c r="F3" s="2">
        <v>287923</v>
      </c>
    </row>
    <row r="4" spans="1:7" x14ac:dyDescent="0.25">
      <c r="D4" t="s">
        <v>98</v>
      </c>
      <c r="E4" t="s">
        <v>154</v>
      </c>
      <c r="F4" s="2">
        <v>544237</v>
      </c>
    </row>
    <row r="5" spans="1:7" x14ac:dyDescent="0.25">
      <c r="D5" t="s">
        <v>4</v>
      </c>
      <c r="E5" t="s">
        <v>154</v>
      </c>
      <c r="F5" s="2">
        <v>2155564</v>
      </c>
    </row>
    <row r="6" spans="1:7" x14ac:dyDescent="0.25">
      <c r="D6" t="s">
        <v>5</v>
      </c>
      <c r="E6" t="s">
        <v>154</v>
      </c>
      <c r="F6" s="2">
        <v>416493</v>
      </c>
    </row>
    <row r="7" spans="1:7" x14ac:dyDescent="0.25">
      <c r="D7" t="s">
        <v>6</v>
      </c>
      <c r="E7" t="s">
        <v>154</v>
      </c>
      <c r="F7" s="2">
        <v>214107</v>
      </c>
    </row>
    <row r="8" spans="1:7" x14ac:dyDescent="0.25">
      <c r="D8" t="s">
        <v>9</v>
      </c>
      <c r="E8" t="s">
        <v>154</v>
      </c>
      <c r="F8" s="2">
        <v>159218</v>
      </c>
    </row>
    <row r="9" spans="1:7" x14ac:dyDescent="0.25">
      <c r="B9" t="s">
        <v>79</v>
      </c>
      <c r="C9" t="s">
        <v>176</v>
      </c>
      <c r="D9" t="s">
        <v>3</v>
      </c>
      <c r="E9" t="s">
        <v>154</v>
      </c>
      <c r="F9" s="2">
        <v>31965</v>
      </c>
      <c r="G9" t="s">
        <v>78</v>
      </c>
    </row>
    <row r="10" spans="1:7" x14ac:dyDescent="0.25">
      <c r="B10" t="s">
        <v>80</v>
      </c>
      <c r="C10" t="s">
        <v>176</v>
      </c>
      <c r="D10" t="s">
        <v>3</v>
      </c>
      <c r="E10" t="s">
        <v>154</v>
      </c>
      <c r="F10" s="2">
        <v>742452</v>
      </c>
      <c r="G10" t="s">
        <v>78</v>
      </c>
    </row>
    <row r="11" spans="1:7" x14ac:dyDescent="0.25">
      <c r="B11" t="s">
        <v>81</v>
      </c>
      <c r="C11" t="s">
        <v>176</v>
      </c>
      <c r="D11" t="s">
        <v>3</v>
      </c>
      <c r="E11" t="s">
        <v>154</v>
      </c>
      <c r="F11" s="2">
        <v>68275</v>
      </c>
      <c r="G11" t="s">
        <v>78</v>
      </c>
    </row>
    <row r="12" spans="1:7" x14ac:dyDescent="0.25">
      <c r="A12" t="s">
        <v>83</v>
      </c>
      <c r="B12" t="s">
        <v>79</v>
      </c>
      <c r="C12" t="s">
        <v>177</v>
      </c>
      <c r="D12" t="s">
        <v>3</v>
      </c>
      <c r="E12" t="s">
        <v>154</v>
      </c>
      <c r="F12" s="2">
        <v>71892</v>
      </c>
      <c r="G12" t="s">
        <v>78</v>
      </c>
    </row>
    <row r="13" spans="1:7" x14ac:dyDescent="0.25">
      <c r="A13" t="s">
        <v>84</v>
      </c>
      <c r="B13" t="s">
        <v>79</v>
      </c>
      <c r="C13" t="s">
        <v>177</v>
      </c>
      <c r="D13" t="s">
        <v>3</v>
      </c>
      <c r="E13" t="s">
        <v>154</v>
      </c>
      <c r="F13" s="2">
        <v>16651</v>
      </c>
      <c r="G13" t="s">
        <v>78</v>
      </c>
    </row>
    <row r="14" spans="1:7" x14ac:dyDescent="0.25">
      <c r="A14" t="s">
        <v>85</v>
      </c>
      <c r="B14" t="s">
        <v>79</v>
      </c>
      <c r="C14" t="s">
        <v>177</v>
      </c>
      <c r="D14" t="s">
        <v>3</v>
      </c>
      <c r="E14" t="s">
        <v>154</v>
      </c>
      <c r="F14" s="2">
        <v>3633</v>
      </c>
      <c r="G14" t="s">
        <v>78</v>
      </c>
    </row>
    <row r="15" spans="1:7" x14ac:dyDescent="0.25">
      <c r="A15" t="s">
        <v>75</v>
      </c>
      <c r="B15" t="s">
        <v>79</v>
      </c>
      <c r="C15" t="s">
        <v>177</v>
      </c>
      <c r="D15" t="s">
        <v>3</v>
      </c>
      <c r="E15" t="s">
        <v>154</v>
      </c>
      <c r="F15" s="2">
        <v>16924</v>
      </c>
      <c r="G15" t="s">
        <v>78</v>
      </c>
    </row>
    <row r="16" spans="1:7" x14ac:dyDescent="0.25">
      <c r="A16" t="s">
        <v>86</v>
      </c>
      <c r="B16" t="s">
        <v>80</v>
      </c>
      <c r="C16" t="s">
        <v>177</v>
      </c>
      <c r="D16" t="s">
        <v>3</v>
      </c>
      <c r="E16" t="s">
        <v>154</v>
      </c>
      <c r="F16" s="2">
        <v>320597</v>
      </c>
      <c r="G16" t="s">
        <v>78</v>
      </c>
    </row>
    <row r="17" spans="1:7" x14ac:dyDescent="0.25">
      <c r="A17" t="s">
        <v>83</v>
      </c>
      <c r="B17" t="s">
        <v>80</v>
      </c>
      <c r="C17" t="s">
        <v>177</v>
      </c>
      <c r="D17" t="s">
        <v>3</v>
      </c>
      <c r="E17" t="s">
        <v>154</v>
      </c>
      <c r="F17" s="2">
        <v>154803</v>
      </c>
      <c r="G17" t="s">
        <v>78</v>
      </c>
    </row>
    <row r="18" spans="1:7" x14ac:dyDescent="0.25">
      <c r="A18" t="s">
        <v>87</v>
      </c>
      <c r="B18" t="s">
        <v>80</v>
      </c>
      <c r="C18" t="s">
        <v>177</v>
      </c>
      <c r="D18" t="s">
        <v>3</v>
      </c>
      <c r="E18" t="s">
        <v>154</v>
      </c>
      <c r="F18" s="2">
        <v>3793</v>
      </c>
      <c r="G18" t="s">
        <v>78</v>
      </c>
    </row>
    <row r="19" spans="1:7" x14ac:dyDescent="0.25">
      <c r="A19" t="s">
        <v>84</v>
      </c>
      <c r="B19" t="s">
        <v>80</v>
      </c>
      <c r="C19" t="s">
        <v>177</v>
      </c>
      <c r="D19" t="s">
        <v>3</v>
      </c>
      <c r="E19" t="s">
        <v>154</v>
      </c>
      <c r="F19" s="2">
        <v>16651</v>
      </c>
      <c r="G19" t="s">
        <v>78</v>
      </c>
    </row>
    <row r="20" spans="1:7" x14ac:dyDescent="0.25">
      <c r="A20" t="s">
        <v>88</v>
      </c>
      <c r="B20" t="s">
        <v>80</v>
      </c>
      <c r="C20" t="s">
        <v>177</v>
      </c>
      <c r="D20" t="s">
        <v>3</v>
      </c>
      <c r="E20" t="s">
        <v>154</v>
      </c>
      <c r="F20" s="2">
        <v>64532</v>
      </c>
      <c r="G20" t="s">
        <v>78</v>
      </c>
    </row>
    <row r="21" spans="1:7" x14ac:dyDescent="0.25">
      <c r="A21" t="s">
        <v>81</v>
      </c>
      <c r="B21" t="s">
        <v>75</v>
      </c>
      <c r="C21" t="s">
        <v>177</v>
      </c>
      <c r="D21" t="s">
        <v>3</v>
      </c>
      <c r="E21" t="s">
        <v>154</v>
      </c>
      <c r="F21" s="2">
        <v>753</v>
      </c>
      <c r="G21" t="s">
        <v>78</v>
      </c>
    </row>
    <row r="22" spans="1:7" x14ac:dyDescent="0.25">
      <c r="A22" t="s">
        <v>75</v>
      </c>
      <c r="B22" t="s">
        <v>75</v>
      </c>
      <c r="C22" t="s">
        <v>177</v>
      </c>
      <c r="D22" t="s">
        <v>3</v>
      </c>
      <c r="E22" t="s">
        <v>154</v>
      </c>
      <c r="F22" s="2">
        <f>4361-2969</f>
        <v>1392</v>
      </c>
      <c r="G22" t="s">
        <v>161</v>
      </c>
    </row>
    <row r="23" spans="1:7" x14ac:dyDescent="0.25">
      <c r="C23" t="s">
        <v>92</v>
      </c>
      <c r="D23" t="s">
        <v>139</v>
      </c>
      <c r="E23" t="s">
        <v>154</v>
      </c>
      <c r="F23" s="2">
        <v>91844</v>
      </c>
      <c r="G23" t="s">
        <v>91</v>
      </c>
    </row>
    <row r="24" spans="1:7" x14ac:dyDescent="0.25">
      <c r="C24" t="s">
        <v>93</v>
      </c>
      <c r="D24" t="s">
        <v>139</v>
      </c>
      <c r="E24" t="s">
        <v>154</v>
      </c>
      <c r="F24" s="2">
        <v>26677</v>
      </c>
      <c r="G24" t="s">
        <v>91</v>
      </c>
    </row>
    <row r="25" spans="1:7" x14ac:dyDescent="0.25">
      <c r="C25" t="s">
        <v>95</v>
      </c>
      <c r="D25" t="s">
        <v>8</v>
      </c>
      <c r="E25" t="s">
        <v>154</v>
      </c>
      <c r="F25" s="2">
        <v>32678</v>
      </c>
      <c r="G25" t="s">
        <v>91</v>
      </c>
    </row>
    <row r="26" spans="1:7" x14ac:dyDescent="0.25">
      <c r="C26" t="s">
        <v>96</v>
      </c>
      <c r="D26" t="s">
        <v>8</v>
      </c>
      <c r="E26" t="s">
        <v>154</v>
      </c>
      <c r="F26" s="2">
        <v>58518</v>
      </c>
      <c r="G26" t="s">
        <v>91</v>
      </c>
    </row>
    <row r="27" spans="1:7" x14ac:dyDescent="0.25">
      <c r="C27" t="s">
        <v>22</v>
      </c>
      <c r="D27" t="s">
        <v>149</v>
      </c>
      <c r="E27" t="s">
        <v>154</v>
      </c>
      <c r="F27" s="2">
        <v>6465</v>
      </c>
    </row>
    <row r="28" spans="1:7" x14ac:dyDescent="0.25">
      <c r="C28" t="s">
        <v>24</v>
      </c>
      <c r="D28" t="s">
        <v>149</v>
      </c>
      <c r="E28" t="s">
        <v>154</v>
      </c>
      <c r="F28" s="2">
        <v>24292</v>
      </c>
    </row>
    <row r="29" spans="1:7" x14ac:dyDescent="0.25">
      <c r="B29" t="s">
        <v>71</v>
      </c>
      <c r="C29" t="s">
        <v>23</v>
      </c>
      <c r="D29" t="s">
        <v>149</v>
      </c>
      <c r="E29" t="s">
        <v>154</v>
      </c>
      <c r="F29" s="2">
        <v>62275</v>
      </c>
      <c r="G29" s="2" t="s">
        <v>159</v>
      </c>
    </row>
    <row r="30" spans="1:7" x14ac:dyDescent="0.25">
      <c r="B30" t="s">
        <v>68</v>
      </c>
      <c r="C30" t="s">
        <v>23</v>
      </c>
      <c r="D30" t="s">
        <v>149</v>
      </c>
      <c r="E30" t="s">
        <v>154</v>
      </c>
      <c r="F30" s="2">
        <v>34980</v>
      </c>
      <c r="G30" s="2" t="s">
        <v>159</v>
      </c>
    </row>
    <row r="31" spans="1:7" x14ac:dyDescent="0.25">
      <c r="B31" t="s">
        <v>181</v>
      </c>
      <c r="C31" t="s">
        <v>12</v>
      </c>
      <c r="D31" t="s">
        <v>151</v>
      </c>
      <c r="E31" t="s">
        <v>148</v>
      </c>
      <c r="F31" s="2">
        <v>810408</v>
      </c>
    </row>
    <row r="32" spans="1:7" x14ac:dyDescent="0.25">
      <c r="B32" t="s">
        <v>181</v>
      </c>
      <c r="C32" t="s">
        <v>13</v>
      </c>
      <c r="D32" t="s">
        <v>151</v>
      </c>
      <c r="E32" t="s">
        <v>148</v>
      </c>
      <c r="F32" s="2">
        <v>1364228</v>
      </c>
    </row>
    <row r="33" spans="2:7" x14ac:dyDescent="0.25">
      <c r="B33" t="s">
        <v>181</v>
      </c>
      <c r="C33" t="s">
        <v>14</v>
      </c>
      <c r="D33" t="s">
        <v>151</v>
      </c>
      <c r="E33" t="s">
        <v>148</v>
      </c>
      <c r="F33" s="2">
        <v>1527772</v>
      </c>
    </row>
    <row r="34" spans="2:7" x14ac:dyDescent="0.25">
      <c r="B34" t="s">
        <v>38</v>
      </c>
      <c r="C34" t="s">
        <v>14</v>
      </c>
      <c r="D34" t="s">
        <v>151</v>
      </c>
      <c r="E34" t="s">
        <v>148</v>
      </c>
      <c r="F34" s="2">
        <v>2084821</v>
      </c>
    </row>
    <row r="35" spans="2:7" x14ac:dyDescent="0.25">
      <c r="B35" t="s">
        <v>181</v>
      </c>
      <c r="C35" t="s">
        <v>15</v>
      </c>
      <c r="D35" t="s">
        <v>151</v>
      </c>
      <c r="E35" t="s">
        <v>148</v>
      </c>
      <c r="F35" s="2">
        <v>684792</v>
      </c>
    </row>
    <row r="36" spans="2:7" x14ac:dyDescent="0.25">
      <c r="B36" t="s">
        <v>181</v>
      </c>
      <c r="C36" t="s">
        <v>16</v>
      </c>
      <c r="D36" t="s">
        <v>151</v>
      </c>
      <c r="E36" t="s">
        <v>148</v>
      </c>
      <c r="F36" s="2">
        <v>255728</v>
      </c>
    </row>
    <row r="37" spans="2:7" x14ac:dyDescent="0.25">
      <c r="B37" t="s">
        <v>38</v>
      </c>
      <c r="C37" t="s">
        <v>16</v>
      </c>
      <c r="D37" t="s">
        <v>151</v>
      </c>
      <c r="E37" t="s">
        <v>148</v>
      </c>
      <c r="F37" s="2">
        <v>77742</v>
      </c>
    </row>
    <row r="38" spans="2:7" x14ac:dyDescent="0.25">
      <c r="B38" t="s">
        <v>181</v>
      </c>
      <c r="C38" t="s">
        <v>182</v>
      </c>
      <c r="D38" t="s">
        <v>151</v>
      </c>
      <c r="E38" t="s">
        <v>148</v>
      </c>
      <c r="F38" s="2">
        <v>326899</v>
      </c>
    </row>
    <row r="39" spans="2:7" x14ac:dyDescent="0.25">
      <c r="B39" t="s">
        <v>38</v>
      </c>
      <c r="C39" t="s">
        <v>182</v>
      </c>
      <c r="D39" t="s">
        <v>151</v>
      </c>
      <c r="E39" t="s">
        <v>148</v>
      </c>
      <c r="F39" s="2">
        <v>3358</v>
      </c>
    </row>
    <row r="40" spans="2:7" x14ac:dyDescent="0.25">
      <c r="B40" t="s">
        <v>181</v>
      </c>
      <c r="C40" t="s">
        <v>17</v>
      </c>
      <c r="D40" t="s">
        <v>151</v>
      </c>
      <c r="E40" t="s">
        <v>148</v>
      </c>
      <c r="F40" s="2">
        <v>922615</v>
      </c>
    </row>
    <row r="41" spans="2:7" x14ac:dyDescent="0.25">
      <c r="B41" t="s">
        <v>38</v>
      </c>
      <c r="C41" t="s">
        <v>17</v>
      </c>
      <c r="D41" t="s">
        <v>151</v>
      </c>
      <c r="E41" t="s">
        <v>148</v>
      </c>
      <c r="F41" s="2">
        <v>83792</v>
      </c>
    </row>
    <row r="42" spans="2:7" x14ac:dyDescent="0.25">
      <c r="B42" t="s">
        <v>181</v>
      </c>
      <c r="C42" t="s">
        <v>18</v>
      </c>
      <c r="D42" t="s">
        <v>151</v>
      </c>
      <c r="E42" t="s">
        <v>148</v>
      </c>
      <c r="F42" s="2">
        <v>375578</v>
      </c>
    </row>
    <row r="43" spans="2:7" x14ac:dyDescent="0.25">
      <c r="B43" t="s">
        <v>38</v>
      </c>
      <c r="C43" t="s">
        <v>18</v>
      </c>
      <c r="D43" t="s">
        <v>151</v>
      </c>
      <c r="E43" t="s">
        <v>148</v>
      </c>
      <c r="F43" s="2">
        <v>196492</v>
      </c>
    </row>
    <row r="44" spans="2:7" x14ac:dyDescent="0.25">
      <c r="C44" t="s">
        <v>26</v>
      </c>
      <c r="D44" t="s">
        <v>150</v>
      </c>
      <c r="E44" t="s">
        <v>148</v>
      </c>
      <c r="F44" s="2">
        <v>38132</v>
      </c>
    </row>
    <row r="45" spans="2:7" x14ac:dyDescent="0.25">
      <c r="C45" t="s">
        <v>27</v>
      </c>
      <c r="D45" t="s">
        <v>150</v>
      </c>
      <c r="E45" t="s">
        <v>148</v>
      </c>
      <c r="F45" s="2">
        <v>13648</v>
      </c>
    </row>
    <row r="46" spans="2:7" x14ac:dyDescent="0.25">
      <c r="C46" t="s">
        <v>28</v>
      </c>
      <c r="D46" t="s">
        <v>150</v>
      </c>
      <c r="E46" t="s">
        <v>148</v>
      </c>
      <c r="F46" s="2">
        <v>138936</v>
      </c>
    </row>
    <row r="47" spans="2:7" x14ac:dyDescent="0.25">
      <c r="C47" t="s">
        <v>29</v>
      </c>
      <c r="D47" t="s">
        <v>150</v>
      </c>
      <c r="E47" t="s">
        <v>148</v>
      </c>
      <c r="F47" s="2">
        <v>4140</v>
      </c>
    </row>
    <row r="48" spans="2:7" x14ac:dyDescent="0.25">
      <c r="C48" t="s">
        <v>64</v>
      </c>
      <c r="D48" t="s">
        <v>149</v>
      </c>
      <c r="E48" t="s">
        <v>148</v>
      </c>
      <c r="F48" s="2">
        <v>831751</v>
      </c>
      <c r="G48" s="2" t="s">
        <v>159</v>
      </c>
    </row>
    <row r="49" spans="3:7" x14ac:dyDescent="0.25">
      <c r="C49" t="s">
        <v>66</v>
      </c>
      <c r="D49" t="s">
        <v>149</v>
      </c>
      <c r="E49" t="s">
        <v>148</v>
      </c>
      <c r="F49" s="2">
        <v>437653</v>
      </c>
      <c r="G49" s="2" t="s">
        <v>159</v>
      </c>
    </row>
    <row r="50" spans="3:7" x14ac:dyDescent="0.25">
      <c r="C50" t="s">
        <v>67</v>
      </c>
      <c r="D50" t="s">
        <v>149</v>
      </c>
      <c r="E50" t="s">
        <v>148</v>
      </c>
      <c r="F50" s="2">
        <v>4418</v>
      </c>
      <c r="G50" s="2" t="s">
        <v>159</v>
      </c>
    </row>
    <row r="51" spans="3:7" x14ac:dyDescent="0.25">
      <c r="C51" t="s">
        <v>69</v>
      </c>
      <c r="D51" t="s">
        <v>149</v>
      </c>
      <c r="E51" t="s">
        <v>148</v>
      </c>
      <c r="F51" s="2">
        <v>340173</v>
      </c>
      <c r="G51" s="2" t="s">
        <v>159</v>
      </c>
    </row>
    <row r="52" spans="3:7" x14ac:dyDescent="0.25">
      <c r="C52" t="s">
        <v>70</v>
      </c>
      <c r="D52" t="s">
        <v>149</v>
      </c>
      <c r="E52" t="s">
        <v>148</v>
      </c>
      <c r="F52" s="2">
        <v>18865</v>
      </c>
      <c r="G52" s="2" t="s">
        <v>159</v>
      </c>
    </row>
    <row r="53" spans="3:7" x14ac:dyDescent="0.25">
      <c r="C53" t="s">
        <v>72</v>
      </c>
      <c r="D53" t="s">
        <v>149</v>
      </c>
      <c r="E53" t="s">
        <v>148</v>
      </c>
      <c r="F53" s="2">
        <v>15910</v>
      </c>
      <c r="G53" s="2" t="s">
        <v>159</v>
      </c>
    </row>
    <row r="54" spans="3:7" x14ac:dyDescent="0.25">
      <c r="C54" t="s">
        <v>73</v>
      </c>
      <c r="D54" t="s">
        <v>149</v>
      </c>
      <c r="E54" t="s">
        <v>148</v>
      </c>
      <c r="F54" s="2">
        <v>11488</v>
      </c>
      <c r="G54" s="2" t="s">
        <v>159</v>
      </c>
    </row>
    <row r="55" spans="3:7" x14ac:dyDescent="0.25">
      <c r="C55" t="s">
        <v>74</v>
      </c>
      <c r="D55" t="s">
        <v>149</v>
      </c>
      <c r="E55" t="s">
        <v>148</v>
      </c>
      <c r="F55" s="2">
        <v>113205</v>
      </c>
      <c r="G55" s="2" t="s">
        <v>159</v>
      </c>
    </row>
    <row r="56" spans="3:7" x14ac:dyDescent="0.25">
      <c r="C56" t="s">
        <v>75</v>
      </c>
      <c r="D56" t="s">
        <v>149</v>
      </c>
      <c r="E56" t="s">
        <v>148</v>
      </c>
      <c r="F56" s="2">
        <v>9385</v>
      </c>
      <c r="G56" s="2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A8C3-DA21-4C14-99CF-64061DE3B9FA}">
  <dimension ref="B2:E17"/>
  <sheetViews>
    <sheetView workbookViewId="0">
      <selection activeCell="C6" sqref="C6"/>
    </sheetView>
  </sheetViews>
  <sheetFormatPr defaultRowHeight="15" x14ac:dyDescent="0.25"/>
  <cols>
    <col min="2" max="2" width="31.140625" bestFit="1" customWidth="1"/>
    <col min="3" max="3" width="11.7109375" bestFit="1" customWidth="1"/>
  </cols>
  <sheetData>
    <row r="2" spans="2:5" x14ac:dyDescent="0.25">
      <c r="B2" t="s">
        <v>164</v>
      </c>
      <c r="C2" s="2">
        <f>SUMIFS(cleaned_data!$F$2:$F$56,cleaned_data!$E$2:$E$56,tables_for_summary!B2)</f>
        <v>10691929</v>
      </c>
    </row>
    <row r="3" spans="2:5" x14ac:dyDescent="0.25">
      <c r="B3" t="s">
        <v>0</v>
      </c>
      <c r="C3" s="2">
        <f>SUMIFS(cleaned_data!$F$2:$F$56,cleaned_data!$E$2:$E$56,tables_for_summary!B3)</f>
        <v>9803882</v>
      </c>
    </row>
    <row r="4" spans="2:5" x14ac:dyDescent="0.25">
      <c r="B4" t="s">
        <v>173</v>
      </c>
      <c r="C4" s="2">
        <f>C3-C2</f>
        <v>-888047</v>
      </c>
    </row>
    <row r="5" spans="2:5" x14ac:dyDescent="0.25">
      <c r="B5" t="s">
        <v>172</v>
      </c>
      <c r="C5" s="2">
        <v>4174298</v>
      </c>
    </row>
    <row r="6" spans="2:5" x14ac:dyDescent="0.25">
      <c r="B6" t="s">
        <v>169</v>
      </c>
      <c r="C6" s="2">
        <v>1762949</v>
      </c>
    </row>
    <row r="7" spans="2:5" x14ac:dyDescent="0.25">
      <c r="B7" t="s">
        <v>170</v>
      </c>
      <c r="C7" s="1">
        <f>C2/C6*1000</f>
        <v>6064.7976770740388</v>
      </c>
    </row>
    <row r="8" spans="2:5" x14ac:dyDescent="0.25">
      <c r="B8" t="s">
        <v>171</v>
      </c>
      <c r="C8" s="1">
        <f>C5/C6*1000</f>
        <v>2367.7928289474057</v>
      </c>
    </row>
    <row r="9" spans="2:5" x14ac:dyDescent="0.25">
      <c r="B9" t="s">
        <v>104</v>
      </c>
      <c r="C9" s="2">
        <v>28000</v>
      </c>
      <c r="D9" t="s">
        <v>175</v>
      </c>
      <c r="E9" s="8" t="s">
        <v>174</v>
      </c>
    </row>
    <row r="11" spans="2:5" x14ac:dyDescent="0.25">
      <c r="B11" t="s">
        <v>12</v>
      </c>
      <c r="C11" s="2">
        <v>810408</v>
      </c>
      <c r="D11" s="7">
        <f>C11/$C$2</f>
        <v>7.5796238452387782E-2</v>
      </c>
    </row>
    <row r="12" spans="2:5" x14ac:dyDescent="0.25">
      <c r="B12" t="s">
        <v>13</v>
      </c>
      <c r="C12" s="2">
        <v>1364228</v>
      </c>
      <c r="D12" s="7">
        <f t="shared" ref="D12:D17" si="0">C12/$C$2</f>
        <v>0.12759418810207213</v>
      </c>
    </row>
    <row r="13" spans="2:5" x14ac:dyDescent="0.25">
      <c r="B13" t="s">
        <v>14</v>
      </c>
      <c r="C13" s="2">
        <v>3612593</v>
      </c>
      <c r="D13" s="7">
        <f t="shared" si="0"/>
        <v>0.33788037687118949</v>
      </c>
    </row>
    <row r="14" spans="2:5" x14ac:dyDescent="0.25">
      <c r="B14" t="s">
        <v>15</v>
      </c>
      <c r="C14" s="2">
        <v>684792</v>
      </c>
      <c r="D14" s="7">
        <f t="shared" si="0"/>
        <v>6.4047563353628698E-2</v>
      </c>
    </row>
    <row r="15" spans="2:5" x14ac:dyDescent="0.25">
      <c r="B15" t="s">
        <v>16</v>
      </c>
      <c r="C15" s="2">
        <v>333470</v>
      </c>
      <c r="D15" s="7">
        <f t="shared" si="0"/>
        <v>3.1188946353833812E-2</v>
      </c>
    </row>
    <row r="16" spans="2:5" x14ac:dyDescent="0.25">
      <c r="B16" t="s">
        <v>138</v>
      </c>
      <c r="C16" s="2">
        <v>330257</v>
      </c>
      <c r="D16" s="7">
        <f t="shared" si="0"/>
        <v>3.0888439307818073E-2</v>
      </c>
    </row>
    <row r="17" spans="2:4" x14ac:dyDescent="0.25">
      <c r="B17" t="s">
        <v>17</v>
      </c>
      <c r="C17" s="2">
        <v>1006407</v>
      </c>
      <c r="D17" s="7">
        <f t="shared" si="0"/>
        <v>9.4127729430302051E-2</v>
      </c>
    </row>
  </sheetData>
  <hyperlinks>
    <hyperlink ref="E9" r:id="rId1" location=":~:text=Join%20the%2028%2C000%2Dstrong%20employees%20of%20the%20city." xr:uid="{DB841644-1163-4D90-8AB7-980CB5C72A2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C2E2-D9C5-4B1A-B2C9-351C188EB107}">
  <dimension ref="A2:G34"/>
  <sheetViews>
    <sheetView workbookViewId="0">
      <selection activeCell="B23" sqref="B23"/>
    </sheetView>
  </sheetViews>
  <sheetFormatPr defaultRowHeight="15" x14ac:dyDescent="0.25"/>
  <cols>
    <col min="2" max="2" width="58.7109375" bestFit="1" customWidth="1"/>
    <col min="3" max="4" width="28.42578125" bestFit="1" customWidth="1"/>
    <col min="5" max="5" width="26.140625" customWidth="1"/>
    <col min="6" max="6" width="13" customWidth="1"/>
  </cols>
  <sheetData>
    <row r="2" spans="1:7" x14ac:dyDescent="0.25">
      <c r="D2" s="3"/>
      <c r="E2" s="3"/>
      <c r="F2" s="2"/>
    </row>
    <row r="3" spans="1:7" x14ac:dyDescent="0.25">
      <c r="A3" t="s">
        <v>180</v>
      </c>
      <c r="B3" t="s">
        <v>179</v>
      </c>
      <c r="C3" t="s">
        <v>178</v>
      </c>
      <c r="D3" t="s">
        <v>168</v>
      </c>
      <c r="E3" t="s">
        <v>167</v>
      </c>
      <c r="F3" t="s">
        <v>163</v>
      </c>
      <c r="G3" t="s">
        <v>162</v>
      </c>
    </row>
    <row r="4" spans="1:7" x14ac:dyDescent="0.25">
      <c r="D4" t="s">
        <v>1</v>
      </c>
      <c r="E4" t="s">
        <v>154</v>
      </c>
      <c r="F4" s="2">
        <v>4174298</v>
      </c>
    </row>
    <row r="5" spans="1:7" x14ac:dyDescent="0.25">
      <c r="D5" t="s">
        <v>2</v>
      </c>
      <c r="E5" t="s">
        <v>154</v>
      </c>
      <c r="F5" s="2">
        <v>287923</v>
      </c>
    </row>
    <row r="6" spans="1:7" x14ac:dyDescent="0.25">
      <c r="D6" t="s">
        <v>98</v>
      </c>
      <c r="E6" t="s">
        <v>154</v>
      </c>
      <c r="F6" s="2">
        <v>544237</v>
      </c>
    </row>
    <row r="7" spans="1:7" x14ac:dyDescent="0.25">
      <c r="D7" t="s">
        <v>4</v>
      </c>
      <c r="E7" t="s">
        <v>154</v>
      </c>
      <c r="F7" s="2">
        <v>2155564</v>
      </c>
    </row>
    <row r="8" spans="1:7" x14ac:dyDescent="0.25">
      <c r="D8" t="s">
        <v>5</v>
      </c>
      <c r="E8" t="s">
        <v>154</v>
      </c>
      <c r="F8" s="2">
        <v>416493</v>
      </c>
    </row>
    <row r="9" spans="1:7" x14ac:dyDescent="0.25">
      <c r="D9" t="s">
        <v>6</v>
      </c>
      <c r="E9" t="s">
        <v>154</v>
      </c>
      <c r="F9" s="2">
        <v>214107</v>
      </c>
    </row>
    <row r="10" spans="1:7" x14ac:dyDescent="0.25">
      <c r="D10" t="s">
        <v>9</v>
      </c>
      <c r="E10" t="s">
        <v>154</v>
      </c>
      <c r="F10" s="2">
        <v>159218</v>
      </c>
    </row>
    <row r="11" spans="1:7" x14ac:dyDescent="0.25">
      <c r="B11" t="s">
        <v>79</v>
      </c>
      <c r="C11" t="s">
        <v>176</v>
      </c>
      <c r="D11" t="s">
        <v>3</v>
      </c>
      <c r="E11" t="s">
        <v>154</v>
      </c>
      <c r="F11" s="2">
        <v>31965</v>
      </c>
      <c r="G11" t="s">
        <v>78</v>
      </c>
    </row>
    <row r="12" spans="1:7" x14ac:dyDescent="0.25">
      <c r="B12" t="s">
        <v>80</v>
      </c>
      <c r="C12" t="s">
        <v>176</v>
      </c>
      <c r="D12" t="s">
        <v>3</v>
      </c>
      <c r="E12" t="s">
        <v>154</v>
      </c>
      <c r="F12" s="2">
        <v>742452</v>
      </c>
      <c r="G12" t="s">
        <v>78</v>
      </c>
    </row>
    <row r="13" spans="1:7" x14ac:dyDescent="0.25">
      <c r="B13" t="s">
        <v>81</v>
      </c>
      <c r="C13" t="s">
        <v>176</v>
      </c>
      <c r="D13" t="s">
        <v>3</v>
      </c>
      <c r="E13" t="s">
        <v>154</v>
      </c>
      <c r="F13" s="2">
        <v>68275</v>
      </c>
      <c r="G13" t="s">
        <v>78</v>
      </c>
    </row>
    <row r="14" spans="1:7" x14ac:dyDescent="0.25">
      <c r="A14" t="s">
        <v>83</v>
      </c>
      <c r="B14" t="s">
        <v>79</v>
      </c>
      <c r="C14" t="s">
        <v>177</v>
      </c>
      <c r="D14" t="s">
        <v>3</v>
      </c>
      <c r="E14" t="s">
        <v>154</v>
      </c>
      <c r="F14" s="2">
        <v>71892</v>
      </c>
      <c r="G14" t="s">
        <v>78</v>
      </c>
    </row>
    <row r="15" spans="1:7" x14ac:dyDescent="0.25">
      <c r="A15" t="s">
        <v>84</v>
      </c>
      <c r="B15" t="s">
        <v>79</v>
      </c>
      <c r="C15" t="s">
        <v>177</v>
      </c>
      <c r="D15" t="s">
        <v>3</v>
      </c>
      <c r="E15" t="s">
        <v>154</v>
      </c>
      <c r="F15" s="2">
        <v>16651</v>
      </c>
      <c r="G15" t="s">
        <v>78</v>
      </c>
    </row>
    <row r="16" spans="1:7" x14ac:dyDescent="0.25">
      <c r="A16" t="s">
        <v>85</v>
      </c>
      <c r="B16" t="s">
        <v>79</v>
      </c>
      <c r="C16" t="s">
        <v>177</v>
      </c>
      <c r="D16" t="s">
        <v>3</v>
      </c>
      <c r="E16" t="s">
        <v>154</v>
      </c>
      <c r="F16" s="2">
        <v>3633</v>
      </c>
      <c r="G16" t="s">
        <v>78</v>
      </c>
    </row>
    <row r="17" spans="1:7" x14ac:dyDescent="0.25">
      <c r="A17" t="s">
        <v>75</v>
      </c>
      <c r="B17" t="s">
        <v>79</v>
      </c>
      <c r="C17" t="s">
        <v>177</v>
      </c>
      <c r="D17" t="s">
        <v>3</v>
      </c>
      <c r="E17" t="s">
        <v>154</v>
      </c>
      <c r="F17" s="2">
        <v>16924</v>
      </c>
      <c r="G17" t="s">
        <v>78</v>
      </c>
    </row>
    <row r="18" spans="1:7" x14ac:dyDescent="0.25">
      <c r="A18" t="s">
        <v>86</v>
      </c>
      <c r="B18" t="s">
        <v>80</v>
      </c>
      <c r="C18" t="s">
        <v>177</v>
      </c>
      <c r="D18" t="s">
        <v>3</v>
      </c>
      <c r="E18" t="s">
        <v>154</v>
      </c>
      <c r="F18" s="2">
        <v>320597</v>
      </c>
      <c r="G18" t="s">
        <v>78</v>
      </c>
    </row>
    <row r="19" spans="1:7" x14ac:dyDescent="0.25">
      <c r="A19" t="s">
        <v>83</v>
      </c>
      <c r="B19" t="s">
        <v>80</v>
      </c>
      <c r="C19" t="s">
        <v>177</v>
      </c>
      <c r="D19" t="s">
        <v>3</v>
      </c>
      <c r="E19" t="s">
        <v>154</v>
      </c>
      <c r="F19" s="2">
        <v>154803</v>
      </c>
      <c r="G19" t="s">
        <v>78</v>
      </c>
    </row>
    <row r="20" spans="1:7" x14ac:dyDescent="0.25">
      <c r="A20" t="s">
        <v>87</v>
      </c>
      <c r="B20" t="s">
        <v>80</v>
      </c>
      <c r="C20" t="s">
        <v>177</v>
      </c>
      <c r="D20" t="s">
        <v>3</v>
      </c>
      <c r="E20" t="s">
        <v>154</v>
      </c>
      <c r="F20" s="2">
        <v>3793</v>
      </c>
      <c r="G20" t="s">
        <v>78</v>
      </c>
    </row>
    <row r="21" spans="1:7" x14ac:dyDescent="0.25">
      <c r="A21" t="s">
        <v>84</v>
      </c>
      <c r="B21" t="s">
        <v>80</v>
      </c>
      <c r="C21" t="s">
        <v>177</v>
      </c>
      <c r="D21" t="s">
        <v>3</v>
      </c>
      <c r="E21" t="s">
        <v>154</v>
      </c>
      <c r="F21" s="2">
        <v>16651</v>
      </c>
      <c r="G21" t="s">
        <v>78</v>
      </c>
    </row>
    <row r="22" spans="1:7" x14ac:dyDescent="0.25">
      <c r="A22" t="s">
        <v>88</v>
      </c>
      <c r="B22" t="s">
        <v>80</v>
      </c>
      <c r="C22" t="s">
        <v>177</v>
      </c>
      <c r="D22" t="s">
        <v>3</v>
      </c>
      <c r="E22" t="s">
        <v>154</v>
      </c>
      <c r="F22" s="2">
        <v>64532</v>
      </c>
      <c r="G22" t="s">
        <v>78</v>
      </c>
    </row>
    <row r="23" spans="1:7" x14ac:dyDescent="0.25">
      <c r="A23" t="s">
        <v>81</v>
      </c>
      <c r="B23" t="s">
        <v>75</v>
      </c>
      <c r="C23" t="s">
        <v>177</v>
      </c>
      <c r="D23" t="s">
        <v>3</v>
      </c>
      <c r="E23" t="s">
        <v>154</v>
      </c>
      <c r="F23" s="2">
        <v>753</v>
      </c>
      <c r="G23" t="s">
        <v>78</v>
      </c>
    </row>
    <row r="24" spans="1:7" x14ac:dyDescent="0.25">
      <c r="A24" t="s">
        <v>75</v>
      </c>
      <c r="B24" t="s">
        <v>75</v>
      </c>
      <c r="C24" t="s">
        <v>177</v>
      </c>
      <c r="D24" t="s">
        <v>3</v>
      </c>
      <c r="E24" t="s">
        <v>154</v>
      </c>
      <c r="F24" s="2">
        <f>4361-2969</f>
        <v>1392</v>
      </c>
      <c r="G24" t="s">
        <v>161</v>
      </c>
    </row>
    <row r="25" spans="1:7" x14ac:dyDescent="0.25">
      <c r="C25" t="s">
        <v>92</v>
      </c>
      <c r="D25" t="s">
        <v>139</v>
      </c>
      <c r="E25" t="s">
        <v>154</v>
      </c>
      <c r="F25" s="2">
        <v>91844</v>
      </c>
      <c r="G25" t="s">
        <v>91</v>
      </c>
    </row>
    <row r="26" spans="1:7" x14ac:dyDescent="0.25">
      <c r="C26" t="s">
        <v>93</v>
      </c>
      <c r="D26" t="s">
        <v>139</v>
      </c>
      <c r="E26" t="s">
        <v>154</v>
      </c>
      <c r="F26" s="2">
        <v>26677</v>
      </c>
      <c r="G26" t="s">
        <v>91</v>
      </c>
    </row>
    <row r="27" spans="1:7" x14ac:dyDescent="0.25">
      <c r="C27" t="s">
        <v>95</v>
      </c>
      <c r="D27" t="s">
        <v>8</v>
      </c>
      <c r="E27" t="s">
        <v>154</v>
      </c>
      <c r="F27" s="2">
        <v>32678</v>
      </c>
      <c r="G27" t="s">
        <v>91</v>
      </c>
    </row>
    <row r="28" spans="1:7" x14ac:dyDescent="0.25">
      <c r="C28" t="s">
        <v>96</v>
      </c>
      <c r="D28" t="s">
        <v>8</v>
      </c>
      <c r="E28" t="s">
        <v>154</v>
      </c>
      <c r="F28" s="2">
        <v>58518</v>
      </c>
      <c r="G28" t="s">
        <v>91</v>
      </c>
    </row>
    <row r="29" spans="1:7" x14ac:dyDescent="0.25">
      <c r="C29" t="s">
        <v>22</v>
      </c>
      <c r="D29" t="s">
        <v>149</v>
      </c>
      <c r="E29" t="s">
        <v>154</v>
      </c>
      <c r="F29" s="2">
        <v>6465</v>
      </c>
    </row>
    <row r="30" spans="1:7" x14ac:dyDescent="0.25">
      <c r="C30" t="s">
        <v>24</v>
      </c>
      <c r="D30" t="s">
        <v>149</v>
      </c>
      <c r="E30" t="s">
        <v>154</v>
      </c>
      <c r="F30" s="2">
        <v>24292</v>
      </c>
    </row>
    <row r="31" spans="1:7" x14ac:dyDescent="0.25">
      <c r="B31" t="s">
        <v>71</v>
      </c>
      <c r="C31" t="s">
        <v>23</v>
      </c>
      <c r="D31" t="s">
        <v>149</v>
      </c>
      <c r="E31" t="s">
        <v>154</v>
      </c>
      <c r="F31" s="2">
        <v>62275</v>
      </c>
      <c r="G31" s="2" t="s">
        <v>159</v>
      </c>
    </row>
    <row r="32" spans="1:7" x14ac:dyDescent="0.25">
      <c r="B32" t="s">
        <v>68</v>
      </c>
      <c r="C32" t="s">
        <v>23</v>
      </c>
      <c r="D32" t="s">
        <v>149</v>
      </c>
      <c r="E32" t="s">
        <v>154</v>
      </c>
      <c r="F32" s="2">
        <v>34980</v>
      </c>
      <c r="G32" s="2" t="s">
        <v>159</v>
      </c>
    </row>
    <row r="33" spans="4:5" x14ac:dyDescent="0.25">
      <c r="D33" s="2"/>
      <c r="E33" s="2"/>
    </row>
    <row r="34" spans="4:5" x14ac:dyDescent="0.25">
      <c r="D34" s="2"/>
      <c r="E3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75C9-8012-4A98-B7F2-438C43D6DA3B}">
  <dimension ref="A1:I43"/>
  <sheetViews>
    <sheetView workbookViewId="0">
      <selection activeCell="B2" sqref="B2:F14"/>
    </sheetView>
  </sheetViews>
  <sheetFormatPr defaultRowHeight="15" x14ac:dyDescent="0.25"/>
  <cols>
    <col min="2" max="2" width="31.140625" bestFit="1" customWidth="1"/>
    <col min="3" max="3" width="35.42578125" bestFit="1" customWidth="1"/>
    <col min="4" max="4" width="35.42578125" customWidth="1"/>
    <col min="5" max="5" width="35.42578125" bestFit="1" customWidth="1"/>
    <col min="6" max="6" width="10.140625" bestFit="1" customWidth="1"/>
  </cols>
  <sheetData>
    <row r="1" spans="1:8" x14ac:dyDescent="0.25">
      <c r="A1" t="s">
        <v>180</v>
      </c>
      <c r="B1" t="s">
        <v>179</v>
      </c>
      <c r="C1" t="s">
        <v>178</v>
      </c>
      <c r="D1" t="s">
        <v>168</v>
      </c>
      <c r="E1" t="s">
        <v>167</v>
      </c>
      <c r="F1" t="s">
        <v>163</v>
      </c>
      <c r="G1" t="s">
        <v>162</v>
      </c>
      <c r="H1" s="2"/>
    </row>
    <row r="2" spans="1:8" x14ac:dyDescent="0.25">
      <c r="B2" t="s">
        <v>181</v>
      </c>
      <c r="C2" t="s">
        <v>12</v>
      </c>
      <c r="D2" t="s">
        <v>151</v>
      </c>
      <c r="E2" t="s">
        <v>148</v>
      </c>
      <c r="F2" s="2">
        <v>810408</v>
      </c>
    </row>
    <row r="3" spans="1:8" x14ac:dyDescent="0.25">
      <c r="B3" t="s">
        <v>181</v>
      </c>
      <c r="C3" t="s">
        <v>13</v>
      </c>
      <c r="D3" t="s">
        <v>151</v>
      </c>
      <c r="E3" t="s">
        <v>148</v>
      </c>
      <c r="F3" s="2">
        <v>1364228</v>
      </c>
    </row>
    <row r="4" spans="1:8" x14ac:dyDescent="0.25">
      <c r="B4" t="s">
        <v>181</v>
      </c>
      <c r="C4" t="s">
        <v>14</v>
      </c>
      <c r="D4" t="s">
        <v>151</v>
      </c>
      <c r="E4" t="s">
        <v>148</v>
      </c>
      <c r="F4" s="2">
        <v>1527772</v>
      </c>
    </row>
    <row r="5" spans="1:8" x14ac:dyDescent="0.25">
      <c r="B5" t="s">
        <v>38</v>
      </c>
      <c r="C5" t="s">
        <v>14</v>
      </c>
      <c r="D5" t="s">
        <v>151</v>
      </c>
      <c r="E5" t="s">
        <v>148</v>
      </c>
      <c r="F5" s="2">
        <v>2084821</v>
      </c>
    </row>
    <row r="6" spans="1:8" x14ac:dyDescent="0.25">
      <c r="B6" t="s">
        <v>181</v>
      </c>
      <c r="C6" t="s">
        <v>15</v>
      </c>
      <c r="D6" t="s">
        <v>151</v>
      </c>
      <c r="E6" t="s">
        <v>148</v>
      </c>
      <c r="F6" s="2">
        <v>684792</v>
      </c>
    </row>
    <row r="7" spans="1:8" x14ac:dyDescent="0.25">
      <c r="B7" t="s">
        <v>181</v>
      </c>
      <c r="C7" t="s">
        <v>16</v>
      </c>
      <c r="D7" t="s">
        <v>151</v>
      </c>
      <c r="E7" t="s">
        <v>148</v>
      </c>
      <c r="F7" s="2">
        <v>255728</v>
      </c>
    </row>
    <row r="8" spans="1:8" x14ac:dyDescent="0.25">
      <c r="B8" t="s">
        <v>38</v>
      </c>
      <c r="C8" t="s">
        <v>16</v>
      </c>
      <c r="D8" t="s">
        <v>151</v>
      </c>
      <c r="E8" t="s">
        <v>148</v>
      </c>
      <c r="F8" s="2">
        <v>77742</v>
      </c>
    </row>
    <row r="9" spans="1:8" x14ac:dyDescent="0.25">
      <c r="B9" t="s">
        <v>181</v>
      </c>
      <c r="C9" t="s">
        <v>182</v>
      </c>
      <c r="D9" t="s">
        <v>151</v>
      </c>
      <c r="E9" t="s">
        <v>148</v>
      </c>
      <c r="F9" s="2">
        <v>326899</v>
      </c>
    </row>
    <row r="10" spans="1:8" x14ac:dyDescent="0.25">
      <c r="B10" t="s">
        <v>38</v>
      </c>
      <c r="C10" t="s">
        <v>182</v>
      </c>
      <c r="D10" t="s">
        <v>151</v>
      </c>
      <c r="E10" t="s">
        <v>148</v>
      </c>
      <c r="F10" s="2">
        <v>3358</v>
      </c>
    </row>
    <row r="11" spans="1:8" x14ac:dyDescent="0.25">
      <c r="B11" t="s">
        <v>181</v>
      </c>
      <c r="C11" t="s">
        <v>17</v>
      </c>
      <c r="D11" t="s">
        <v>151</v>
      </c>
      <c r="E11" t="s">
        <v>148</v>
      </c>
      <c r="F11" s="2">
        <v>922615</v>
      </c>
    </row>
    <row r="12" spans="1:8" x14ac:dyDescent="0.25">
      <c r="B12" t="s">
        <v>38</v>
      </c>
      <c r="C12" t="s">
        <v>17</v>
      </c>
      <c r="D12" t="s">
        <v>151</v>
      </c>
      <c r="E12" t="s">
        <v>148</v>
      </c>
      <c r="F12" s="2">
        <v>83792</v>
      </c>
    </row>
    <row r="13" spans="1:8" x14ac:dyDescent="0.25">
      <c r="B13" t="s">
        <v>181</v>
      </c>
      <c r="C13" t="s">
        <v>18</v>
      </c>
      <c r="D13" t="s">
        <v>151</v>
      </c>
      <c r="E13" t="s">
        <v>148</v>
      </c>
      <c r="F13" s="2">
        <v>375578</v>
      </c>
    </row>
    <row r="14" spans="1:8" x14ac:dyDescent="0.25">
      <c r="B14" t="s">
        <v>38</v>
      </c>
      <c r="C14" t="s">
        <v>18</v>
      </c>
      <c r="D14" t="s">
        <v>151</v>
      </c>
      <c r="E14" t="s">
        <v>148</v>
      </c>
      <c r="F14" s="2">
        <v>196492</v>
      </c>
    </row>
    <row r="15" spans="1:8" x14ac:dyDescent="0.25">
      <c r="C15" t="s">
        <v>26</v>
      </c>
      <c r="D15" t="s">
        <v>150</v>
      </c>
      <c r="E15" t="s">
        <v>148</v>
      </c>
      <c r="F15" s="2">
        <v>38132</v>
      </c>
    </row>
    <row r="16" spans="1:8" x14ac:dyDescent="0.25">
      <c r="C16" t="s">
        <v>27</v>
      </c>
      <c r="D16" t="s">
        <v>150</v>
      </c>
      <c r="E16" t="s">
        <v>148</v>
      </c>
      <c r="F16" s="2">
        <v>13648</v>
      </c>
    </row>
    <row r="17" spans="3:9" x14ac:dyDescent="0.25">
      <c r="C17" t="s">
        <v>28</v>
      </c>
      <c r="D17" t="s">
        <v>150</v>
      </c>
      <c r="E17" t="s">
        <v>148</v>
      </c>
      <c r="F17" s="2">
        <v>138936</v>
      </c>
    </row>
    <row r="18" spans="3:9" x14ac:dyDescent="0.25">
      <c r="C18" t="s">
        <v>29</v>
      </c>
      <c r="D18" t="s">
        <v>150</v>
      </c>
      <c r="E18" t="s">
        <v>148</v>
      </c>
      <c r="F18" s="2">
        <v>4140</v>
      </c>
    </row>
    <row r="19" spans="3:9" x14ac:dyDescent="0.25">
      <c r="C19" t="s">
        <v>64</v>
      </c>
      <c r="D19" t="s">
        <v>149</v>
      </c>
      <c r="E19" t="s">
        <v>148</v>
      </c>
      <c r="F19" s="2">
        <v>831751</v>
      </c>
      <c r="G19" s="2" t="s">
        <v>159</v>
      </c>
      <c r="H19" s="2"/>
      <c r="I19" s="2"/>
    </row>
    <row r="20" spans="3:9" x14ac:dyDescent="0.25">
      <c r="C20" t="s">
        <v>66</v>
      </c>
      <c r="D20" t="s">
        <v>149</v>
      </c>
      <c r="E20" t="s">
        <v>148</v>
      </c>
      <c r="F20" s="2">
        <v>437653</v>
      </c>
      <c r="G20" s="2" t="s">
        <v>159</v>
      </c>
    </row>
    <row r="21" spans="3:9" x14ac:dyDescent="0.25">
      <c r="C21" t="s">
        <v>67</v>
      </c>
      <c r="D21" t="s">
        <v>149</v>
      </c>
      <c r="E21" t="s">
        <v>148</v>
      </c>
      <c r="F21" s="2">
        <v>4418</v>
      </c>
      <c r="G21" s="2" t="s">
        <v>159</v>
      </c>
    </row>
    <row r="22" spans="3:9" x14ac:dyDescent="0.25">
      <c r="C22" t="s">
        <v>69</v>
      </c>
      <c r="D22" t="s">
        <v>149</v>
      </c>
      <c r="E22" t="s">
        <v>148</v>
      </c>
      <c r="F22" s="2">
        <v>340173</v>
      </c>
      <c r="G22" s="2" t="s">
        <v>159</v>
      </c>
    </row>
    <row r="23" spans="3:9" x14ac:dyDescent="0.25">
      <c r="C23" t="s">
        <v>70</v>
      </c>
      <c r="D23" t="s">
        <v>149</v>
      </c>
      <c r="E23" t="s">
        <v>148</v>
      </c>
      <c r="F23" s="2">
        <v>18865</v>
      </c>
      <c r="G23" s="2" t="s">
        <v>159</v>
      </c>
    </row>
    <row r="24" spans="3:9" x14ac:dyDescent="0.25">
      <c r="C24" t="s">
        <v>72</v>
      </c>
      <c r="D24" t="s">
        <v>149</v>
      </c>
      <c r="E24" t="s">
        <v>148</v>
      </c>
      <c r="F24" s="2">
        <v>15910</v>
      </c>
      <c r="G24" s="2" t="s">
        <v>159</v>
      </c>
    </row>
    <row r="25" spans="3:9" x14ac:dyDescent="0.25">
      <c r="C25" t="s">
        <v>73</v>
      </c>
      <c r="D25" t="s">
        <v>149</v>
      </c>
      <c r="E25" t="s">
        <v>148</v>
      </c>
      <c r="F25" s="2">
        <v>11488</v>
      </c>
      <c r="G25" s="2" t="s">
        <v>159</v>
      </c>
    </row>
    <row r="26" spans="3:9" x14ac:dyDescent="0.25">
      <c r="C26" t="s">
        <v>74</v>
      </c>
      <c r="D26" t="s">
        <v>149</v>
      </c>
      <c r="E26" t="s">
        <v>148</v>
      </c>
      <c r="F26" s="2">
        <v>113205</v>
      </c>
      <c r="G26" s="2" t="s">
        <v>159</v>
      </c>
    </row>
    <row r="27" spans="3:9" x14ac:dyDescent="0.25">
      <c r="C27" t="s">
        <v>75</v>
      </c>
      <c r="D27" t="s">
        <v>149</v>
      </c>
      <c r="E27" t="s">
        <v>148</v>
      </c>
      <c r="F27" s="2">
        <v>9385</v>
      </c>
      <c r="G27" s="2" t="s">
        <v>159</v>
      </c>
    </row>
    <row r="28" spans="3:9" x14ac:dyDescent="0.25">
      <c r="F28" s="2"/>
    </row>
    <row r="29" spans="3:9" x14ac:dyDescent="0.25">
      <c r="F29" s="2"/>
    </row>
    <row r="30" spans="3:9" x14ac:dyDescent="0.25">
      <c r="F30" s="2"/>
    </row>
    <row r="33" spans="6:6" x14ac:dyDescent="0.25">
      <c r="F33" s="2"/>
    </row>
    <row r="34" spans="6:6" x14ac:dyDescent="0.25">
      <c r="F34" s="2"/>
    </row>
    <row r="35" spans="6:6" x14ac:dyDescent="0.25">
      <c r="F35" s="2"/>
    </row>
    <row r="36" spans="6:6" x14ac:dyDescent="0.25">
      <c r="F36" s="2"/>
    </row>
    <row r="37" spans="6:6" x14ac:dyDescent="0.25">
      <c r="F37" s="2"/>
    </row>
    <row r="38" spans="6:6" x14ac:dyDescent="0.25">
      <c r="F38" s="2"/>
    </row>
    <row r="39" spans="6:6" x14ac:dyDescent="0.25">
      <c r="F39" s="2"/>
    </row>
    <row r="40" spans="6:6" x14ac:dyDescent="0.25">
      <c r="F40" s="2"/>
    </row>
    <row r="41" spans="6:6" x14ac:dyDescent="0.25">
      <c r="F41" s="2"/>
    </row>
    <row r="42" spans="6:6" x14ac:dyDescent="0.25">
      <c r="F42" s="2"/>
    </row>
    <row r="43" spans="6:6" x14ac:dyDescent="0.25">
      <c r="F4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1F28-B0AD-4115-91E6-AD205E4FCAA1}">
  <dimension ref="B4:G39"/>
  <sheetViews>
    <sheetView workbookViewId="0">
      <selection activeCell="G5" sqref="G5"/>
    </sheetView>
  </sheetViews>
  <sheetFormatPr defaultRowHeight="15" x14ac:dyDescent="0.25"/>
  <cols>
    <col min="2" max="2" width="30" bestFit="1" customWidth="1"/>
    <col min="3" max="3" width="30" customWidth="1"/>
    <col min="4" max="4" width="12" bestFit="1" customWidth="1"/>
    <col min="5" max="5" width="9.85546875" bestFit="1" customWidth="1"/>
    <col min="6" max="6" width="16.140625" bestFit="1" customWidth="1"/>
  </cols>
  <sheetData>
    <row r="4" spans="2:7" x14ac:dyDescent="0.25">
      <c r="B4" t="s">
        <v>157</v>
      </c>
      <c r="C4" t="s">
        <v>155</v>
      </c>
      <c r="D4" t="s">
        <v>156</v>
      </c>
      <c r="E4" t="s">
        <v>23</v>
      </c>
      <c r="F4" t="s">
        <v>158</v>
      </c>
      <c r="G4" t="s">
        <v>160</v>
      </c>
    </row>
    <row r="5" spans="2:7" x14ac:dyDescent="0.25">
      <c r="B5" t="s">
        <v>64</v>
      </c>
      <c r="C5" s="2">
        <f>D5-E5</f>
        <v>831751</v>
      </c>
      <c r="D5" s="2">
        <v>1332632</v>
      </c>
      <c r="E5" s="2">
        <v>500881</v>
      </c>
      <c r="F5" t="s">
        <v>152</v>
      </c>
      <c r="G5" t="s">
        <v>61</v>
      </c>
    </row>
    <row r="6" spans="2:7" x14ac:dyDescent="0.25">
      <c r="B6" t="s">
        <v>66</v>
      </c>
      <c r="C6" s="2">
        <f t="shared" ref="C6:C15" si="0">D6-E6</f>
        <v>437653</v>
      </c>
      <c r="D6" s="2">
        <v>577939</v>
      </c>
      <c r="E6" s="2">
        <v>140286</v>
      </c>
      <c r="F6" t="s">
        <v>152</v>
      </c>
      <c r="G6" t="s">
        <v>61</v>
      </c>
    </row>
    <row r="7" spans="2:7" x14ac:dyDescent="0.25">
      <c r="B7" t="s">
        <v>67</v>
      </c>
      <c r="C7" s="2">
        <f t="shared" si="0"/>
        <v>4418</v>
      </c>
      <c r="D7" s="2">
        <v>7921</v>
      </c>
      <c r="E7" s="2">
        <v>3503</v>
      </c>
      <c r="F7" t="s">
        <v>152</v>
      </c>
      <c r="G7" t="s">
        <v>61</v>
      </c>
    </row>
    <row r="8" spans="2:7" x14ac:dyDescent="0.25">
      <c r="B8" t="s">
        <v>68</v>
      </c>
      <c r="C8" s="2">
        <f t="shared" si="0"/>
        <v>-34980</v>
      </c>
      <c r="D8" s="2">
        <v>21108</v>
      </c>
      <c r="E8" s="2">
        <v>56088</v>
      </c>
      <c r="F8" t="s">
        <v>154</v>
      </c>
      <c r="G8" t="s">
        <v>61</v>
      </c>
    </row>
    <row r="9" spans="2:7" x14ac:dyDescent="0.25">
      <c r="B9" t="s">
        <v>69</v>
      </c>
      <c r="C9" s="2">
        <f t="shared" si="0"/>
        <v>340173</v>
      </c>
      <c r="D9" s="2">
        <v>464287</v>
      </c>
      <c r="E9" s="2">
        <v>124114</v>
      </c>
      <c r="F9" t="s">
        <v>152</v>
      </c>
      <c r="G9" t="s">
        <v>61</v>
      </c>
    </row>
    <row r="10" spans="2:7" x14ac:dyDescent="0.25">
      <c r="B10" t="s">
        <v>70</v>
      </c>
      <c r="C10" s="2">
        <f t="shared" si="0"/>
        <v>18865</v>
      </c>
      <c r="D10" s="2">
        <v>35452</v>
      </c>
      <c r="E10" s="2">
        <v>16587</v>
      </c>
      <c r="F10" t="s">
        <v>152</v>
      </c>
      <c r="G10" t="s">
        <v>61</v>
      </c>
    </row>
    <row r="11" spans="2:7" x14ac:dyDescent="0.25">
      <c r="B11" t="s">
        <v>71</v>
      </c>
      <c r="C11" s="2">
        <f t="shared" si="0"/>
        <v>-62275</v>
      </c>
      <c r="D11" s="2">
        <v>65380</v>
      </c>
      <c r="E11" s="2">
        <v>127655</v>
      </c>
      <c r="F11" t="s">
        <v>154</v>
      </c>
      <c r="G11" t="s">
        <v>61</v>
      </c>
    </row>
    <row r="12" spans="2:7" x14ac:dyDescent="0.25">
      <c r="B12" t="s">
        <v>72</v>
      </c>
      <c r="C12" s="2">
        <f t="shared" si="0"/>
        <v>15910</v>
      </c>
      <c r="D12" s="2">
        <v>159406</v>
      </c>
      <c r="E12" s="2">
        <v>143496</v>
      </c>
      <c r="F12" t="s">
        <v>152</v>
      </c>
      <c r="G12" t="s">
        <v>61</v>
      </c>
    </row>
    <row r="13" spans="2:7" x14ac:dyDescent="0.25">
      <c r="B13" t="s">
        <v>73</v>
      </c>
      <c r="C13" s="2">
        <f t="shared" si="0"/>
        <v>11488</v>
      </c>
      <c r="D13" s="2">
        <v>40644</v>
      </c>
      <c r="E13" s="2">
        <v>29156</v>
      </c>
      <c r="F13" t="s">
        <v>152</v>
      </c>
      <c r="G13" t="s">
        <v>61</v>
      </c>
    </row>
    <row r="14" spans="2:7" x14ac:dyDescent="0.25">
      <c r="B14" t="s">
        <v>74</v>
      </c>
      <c r="C14" s="2">
        <f t="shared" si="0"/>
        <v>113205</v>
      </c>
      <c r="D14" s="2">
        <v>113205</v>
      </c>
      <c r="F14" t="s">
        <v>152</v>
      </c>
      <c r="G14" t="s">
        <v>61</v>
      </c>
    </row>
    <row r="15" spans="2:7" x14ac:dyDescent="0.25">
      <c r="B15" t="s">
        <v>75</v>
      </c>
      <c r="C15" s="2">
        <f t="shared" si="0"/>
        <v>9385</v>
      </c>
      <c r="D15" s="2">
        <v>9385</v>
      </c>
      <c r="F15" t="s">
        <v>152</v>
      </c>
      <c r="G15" t="s">
        <v>61</v>
      </c>
    </row>
    <row r="16" spans="2:7" x14ac:dyDescent="0.25">
      <c r="B16" s="3" t="s">
        <v>10</v>
      </c>
      <c r="C16" s="4">
        <f>SUM(C5:C15)</f>
        <v>1685593</v>
      </c>
      <c r="D16" s="4">
        <f>SUM(D5:D15)</f>
        <v>2827359</v>
      </c>
      <c r="E16" s="4">
        <f>SUM(E5:E15)</f>
        <v>1141766</v>
      </c>
    </row>
    <row r="17" spans="3:5" x14ac:dyDescent="0.25">
      <c r="C17">
        <v>1685593</v>
      </c>
      <c r="D17" s="2">
        <f>'2024_financial_report_raw_data'!B23</f>
        <v>2827359</v>
      </c>
      <c r="E17" s="2">
        <f>'2024_financial_report_raw_data'!B25</f>
        <v>1141766</v>
      </c>
    </row>
    <row r="26" spans="3:5" x14ac:dyDescent="0.25">
      <c r="D26" s="4"/>
    </row>
    <row r="29" spans="3:5" x14ac:dyDescent="0.25">
      <c r="D29" s="2"/>
    </row>
    <row r="30" spans="3:5" x14ac:dyDescent="0.25">
      <c r="D30" s="2"/>
    </row>
    <row r="31" spans="3:5" x14ac:dyDescent="0.25">
      <c r="D31" s="2"/>
    </row>
    <row r="32" spans="3:5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A74A-9D2A-4B83-9414-C5BA674674D0}">
  <dimension ref="A1:E273"/>
  <sheetViews>
    <sheetView topLeftCell="A76" workbookViewId="0">
      <selection activeCell="A80" sqref="A80:B108"/>
    </sheetView>
  </sheetViews>
  <sheetFormatPr defaultRowHeight="15" x14ac:dyDescent="0.25"/>
  <cols>
    <col min="1" max="1" width="58.7109375" bestFit="1" customWidth="1"/>
    <col min="2" max="2" width="11.7109375" bestFit="1" customWidth="1"/>
    <col min="4" max="4" width="33.28515625" bestFit="1" customWidth="1"/>
  </cols>
  <sheetData>
    <row r="1" spans="1:3" x14ac:dyDescent="0.25">
      <c r="A1" s="3" t="s">
        <v>99</v>
      </c>
      <c r="B1" s="3">
        <v>2024</v>
      </c>
      <c r="C1" s="3" t="s">
        <v>32</v>
      </c>
    </row>
    <row r="2" spans="1:3" x14ac:dyDescent="0.25">
      <c r="A2" t="s">
        <v>1</v>
      </c>
      <c r="B2" s="2">
        <v>4174298</v>
      </c>
    </row>
    <row r="3" spans="1:3" x14ac:dyDescent="0.25">
      <c r="A3" t="s">
        <v>2</v>
      </c>
      <c r="B3" s="2">
        <v>287923</v>
      </c>
    </row>
    <row r="4" spans="1:3" x14ac:dyDescent="0.25">
      <c r="A4" t="s">
        <v>98</v>
      </c>
      <c r="B4" s="2">
        <v>544237</v>
      </c>
    </row>
    <row r="5" spans="1:3" x14ac:dyDescent="0.25">
      <c r="A5" t="s">
        <v>3</v>
      </c>
      <c r="B5" s="2">
        <v>1514313</v>
      </c>
      <c r="C5">
        <v>19</v>
      </c>
    </row>
    <row r="6" spans="1:3" x14ac:dyDescent="0.25">
      <c r="A6" t="s">
        <v>4</v>
      </c>
      <c r="B6" s="2">
        <v>2155564</v>
      </c>
    </row>
    <row r="7" spans="1:3" x14ac:dyDescent="0.25">
      <c r="A7" t="s">
        <v>5</v>
      </c>
      <c r="B7" s="2">
        <v>416493</v>
      </c>
    </row>
    <row r="8" spans="1:3" x14ac:dyDescent="0.25">
      <c r="A8" t="s">
        <v>6</v>
      </c>
      <c r="B8" s="2">
        <v>214107</v>
      </c>
    </row>
    <row r="9" spans="1:3" x14ac:dyDescent="0.25">
      <c r="A9" t="s">
        <v>7</v>
      </c>
      <c r="B9" s="2">
        <v>118521</v>
      </c>
      <c r="C9">
        <v>20</v>
      </c>
    </row>
    <row r="10" spans="1:3" x14ac:dyDescent="0.25">
      <c r="A10" t="s">
        <v>8</v>
      </c>
      <c r="B10" s="2">
        <v>91196</v>
      </c>
      <c r="C10">
        <v>20</v>
      </c>
    </row>
    <row r="11" spans="1:3" x14ac:dyDescent="0.25">
      <c r="A11" t="s">
        <v>9</v>
      </c>
      <c r="B11" s="2">
        <v>159218</v>
      </c>
    </row>
    <row r="12" spans="1:3" x14ac:dyDescent="0.25">
      <c r="A12" s="3" t="s">
        <v>11</v>
      </c>
      <c r="B12" s="4">
        <f>SUM(B2:B11)</f>
        <v>9675870</v>
      </c>
    </row>
    <row r="13" spans="1:3" x14ac:dyDescent="0.25">
      <c r="A13" t="s">
        <v>12</v>
      </c>
      <c r="B13" s="2">
        <v>810408</v>
      </c>
    </row>
    <row r="14" spans="1:3" x14ac:dyDescent="0.25">
      <c r="A14" t="s">
        <v>13</v>
      </c>
      <c r="B14" s="2">
        <v>1364228</v>
      </c>
    </row>
    <row r="15" spans="1:3" x14ac:dyDescent="0.25">
      <c r="A15" t="s">
        <v>14</v>
      </c>
      <c r="B15" s="2">
        <v>3612593</v>
      </c>
    </row>
    <row r="16" spans="1:3" x14ac:dyDescent="0.25">
      <c r="A16" t="s">
        <v>15</v>
      </c>
      <c r="B16" s="2">
        <v>684792</v>
      </c>
    </row>
    <row r="17" spans="1:5" x14ac:dyDescent="0.25">
      <c r="A17" t="s">
        <v>16</v>
      </c>
      <c r="B17" s="2">
        <v>333470</v>
      </c>
    </row>
    <row r="18" spans="1:5" x14ac:dyDescent="0.25">
      <c r="A18" t="s">
        <v>138</v>
      </c>
      <c r="B18" s="2">
        <v>330257</v>
      </c>
    </row>
    <row r="19" spans="1:5" x14ac:dyDescent="0.25">
      <c r="A19" t="s">
        <v>17</v>
      </c>
      <c r="B19" s="2">
        <v>1006407</v>
      </c>
    </row>
    <row r="20" spans="1:5" x14ac:dyDescent="0.25">
      <c r="A20" t="s">
        <v>18</v>
      </c>
      <c r="B20" s="2">
        <v>572070</v>
      </c>
    </row>
    <row r="21" spans="1:5" x14ac:dyDescent="0.25">
      <c r="A21" s="3" t="s">
        <v>19</v>
      </c>
      <c r="B21" s="4">
        <f>SUM(B13:B20)</f>
        <v>8714225</v>
      </c>
    </row>
    <row r="22" spans="1:5" x14ac:dyDescent="0.25">
      <c r="A22" s="3" t="s">
        <v>20</v>
      </c>
      <c r="B22" s="4">
        <f>B12-B21</f>
        <v>961645</v>
      </c>
    </row>
    <row r="23" spans="1:5" x14ac:dyDescent="0.25">
      <c r="A23" t="s">
        <v>21</v>
      </c>
      <c r="B23" s="2">
        <v>2827359</v>
      </c>
      <c r="C23">
        <v>16</v>
      </c>
      <c r="D23" t="s">
        <v>153</v>
      </c>
      <c r="E23" s="2">
        <f>B23-B25</f>
        <v>1685593</v>
      </c>
    </row>
    <row r="24" spans="1:5" x14ac:dyDescent="0.25">
      <c r="A24" t="s">
        <v>22</v>
      </c>
      <c r="B24" s="2">
        <v>6465</v>
      </c>
      <c r="D24" t="s">
        <v>154</v>
      </c>
    </row>
    <row r="25" spans="1:5" x14ac:dyDescent="0.25">
      <c r="A25" t="s">
        <v>23</v>
      </c>
      <c r="B25" s="2">
        <v>1141766</v>
      </c>
      <c r="C25">
        <v>16</v>
      </c>
      <c r="D25" t="s">
        <v>154</v>
      </c>
    </row>
    <row r="26" spans="1:5" x14ac:dyDescent="0.25">
      <c r="A26" t="s">
        <v>24</v>
      </c>
      <c r="B26" s="2">
        <v>24292</v>
      </c>
      <c r="D26" t="s">
        <v>154</v>
      </c>
    </row>
    <row r="27" spans="1:5" x14ac:dyDescent="0.25">
      <c r="A27" s="3" t="s">
        <v>25</v>
      </c>
      <c r="B27" s="4">
        <f>B23-B24-B25-B26</f>
        <v>1654836</v>
      </c>
    </row>
    <row r="28" spans="1:5" x14ac:dyDescent="0.25">
      <c r="A28" t="s">
        <v>26</v>
      </c>
      <c r="B28" s="2">
        <v>38132</v>
      </c>
      <c r="D28" t="s">
        <v>152</v>
      </c>
    </row>
    <row r="29" spans="1:5" x14ac:dyDescent="0.25">
      <c r="A29" t="s">
        <v>27</v>
      </c>
      <c r="B29" s="2">
        <v>13648</v>
      </c>
      <c r="D29" t="s">
        <v>152</v>
      </c>
    </row>
    <row r="30" spans="1:5" x14ac:dyDescent="0.25">
      <c r="A30" t="s">
        <v>28</v>
      </c>
      <c r="B30" s="2">
        <v>138936</v>
      </c>
      <c r="D30" t="s">
        <v>152</v>
      </c>
    </row>
    <row r="31" spans="1:5" x14ac:dyDescent="0.25">
      <c r="A31" t="s">
        <v>29</v>
      </c>
      <c r="B31" s="2">
        <v>4140</v>
      </c>
      <c r="D31" t="s">
        <v>152</v>
      </c>
    </row>
    <row r="32" spans="1:5" x14ac:dyDescent="0.25">
      <c r="A32" s="3" t="s">
        <v>30</v>
      </c>
      <c r="B32" s="4">
        <f>SUM(B28:B31)</f>
        <v>194856</v>
      </c>
    </row>
    <row r="33" spans="1:3" x14ac:dyDescent="0.25">
      <c r="A33" t="s">
        <v>31</v>
      </c>
      <c r="B33" s="4">
        <f>B22-B27-B32</f>
        <v>-888047</v>
      </c>
    </row>
    <row r="35" spans="1:3" x14ac:dyDescent="0.25">
      <c r="A35" s="3" t="s">
        <v>100</v>
      </c>
    </row>
    <row r="36" spans="1:3" x14ac:dyDescent="0.25">
      <c r="A36" s="3" t="s">
        <v>50</v>
      </c>
    </row>
    <row r="37" spans="1:3" x14ac:dyDescent="0.25">
      <c r="A37" t="s">
        <v>33</v>
      </c>
      <c r="B37" s="2">
        <v>4205653</v>
      </c>
    </row>
    <row r="38" spans="1:3" x14ac:dyDescent="0.25">
      <c r="A38" t="s">
        <v>34</v>
      </c>
      <c r="B38" s="2">
        <v>-31355</v>
      </c>
    </row>
    <row r="39" spans="1:3" x14ac:dyDescent="0.25">
      <c r="A39" s="3" t="s">
        <v>35</v>
      </c>
      <c r="B39" s="4">
        <f>SUM(B37:B38)</f>
        <v>4174298</v>
      </c>
      <c r="C39" s="2"/>
    </row>
    <row r="40" spans="1:3" x14ac:dyDescent="0.25">
      <c r="A40" t="s">
        <v>33</v>
      </c>
      <c r="B40" s="2">
        <v>287923</v>
      </c>
    </row>
    <row r="41" spans="1:3" x14ac:dyDescent="0.25">
      <c r="A41" s="3" t="s">
        <v>36</v>
      </c>
      <c r="B41" s="4">
        <f>B40</f>
        <v>287923</v>
      </c>
    </row>
    <row r="42" spans="1:3" x14ac:dyDescent="0.25">
      <c r="A42" t="s">
        <v>33</v>
      </c>
      <c r="B42" s="2">
        <v>544237</v>
      </c>
    </row>
    <row r="43" spans="1:3" x14ac:dyDescent="0.25">
      <c r="A43" s="3" t="s">
        <v>37</v>
      </c>
      <c r="B43" s="4">
        <f>SUM(B42)</f>
        <v>544237</v>
      </c>
    </row>
    <row r="44" spans="1:3" x14ac:dyDescent="0.25">
      <c r="A44" t="s">
        <v>33</v>
      </c>
      <c r="B44" s="2">
        <v>711948</v>
      </c>
    </row>
    <row r="45" spans="1:3" x14ac:dyDescent="0.25">
      <c r="A45" t="s">
        <v>38</v>
      </c>
      <c r="B45" s="2">
        <v>172151</v>
      </c>
    </row>
    <row r="46" spans="1:3" x14ac:dyDescent="0.25">
      <c r="A46" t="s">
        <v>34</v>
      </c>
      <c r="B46" s="2">
        <v>-41407</v>
      </c>
    </row>
    <row r="47" spans="1:3" x14ac:dyDescent="0.25">
      <c r="A47" s="3" t="s">
        <v>39</v>
      </c>
      <c r="B47" s="4">
        <f>SUM(B44:B46)</f>
        <v>842692</v>
      </c>
    </row>
    <row r="48" spans="1:3" x14ac:dyDescent="0.25">
      <c r="A48" t="s">
        <v>33</v>
      </c>
      <c r="B48" s="2">
        <v>446822</v>
      </c>
    </row>
    <row r="49" spans="1:2" x14ac:dyDescent="0.25">
      <c r="A49" t="s">
        <v>38</v>
      </c>
      <c r="B49" s="2">
        <v>1871957</v>
      </c>
    </row>
    <row r="50" spans="1:2" x14ac:dyDescent="0.25">
      <c r="A50" t="s">
        <v>34</v>
      </c>
      <c r="B50" s="2">
        <v>-163215</v>
      </c>
    </row>
    <row r="51" spans="1:2" x14ac:dyDescent="0.25">
      <c r="A51" s="3" t="s">
        <v>40</v>
      </c>
      <c r="B51" s="4">
        <f>SUM(B48:B50)</f>
        <v>2155564</v>
      </c>
    </row>
    <row r="52" spans="1:2" x14ac:dyDescent="0.25">
      <c r="A52" t="s">
        <v>33</v>
      </c>
      <c r="B52" s="2">
        <v>416493</v>
      </c>
    </row>
    <row r="53" spans="1:2" x14ac:dyDescent="0.25">
      <c r="A53" s="3" t="s">
        <v>41</v>
      </c>
      <c r="B53" s="4">
        <f>B52</f>
        <v>416493</v>
      </c>
    </row>
    <row r="54" spans="1:2" x14ac:dyDescent="0.25">
      <c r="A54" t="s">
        <v>33</v>
      </c>
      <c r="B54" s="2">
        <v>214107</v>
      </c>
    </row>
    <row r="55" spans="1:2" x14ac:dyDescent="0.25">
      <c r="A55" s="3" t="s">
        <v>42</v>
      </c>
      <c r="B55" s="4">
        <f>B54</f>
        <v>214107</v>
      </c>
    </row>
    <row r="56" spans="1:2" x14ac:dyDescent="0.25">
      <c r="A56" t="s">
        <v>33</v>
      </c>
      <c r="B56" s="2">
        <v>112682</v>
      </c>
    </row>
    <row r="57" spans="1:2" x14ac:dyDescent="0.25">
      <c r="A57" t="s">
        <v>38</v>
      </c>
      <c r="B57" s="2">
        <v>7672</v>
      </c>
    </row>
    <row r="58" spans="1:2" x14ac:dyDescent="0.25">
      <c r="A58" t="s">
        <v>34</v>
      </c>
      <c r="B58" s="2">
        <v>-1833</v>
      </c>
    </row>
    <row r="59" spans="1:2" x14ac:dyDescent="0.25">
      <c r="A59" s="3" t="s">
        <v>43</v>
      </c>
      <c r="B59" s="4">
        <f>SUM(B56:B58)</f>
        <v>118521</v>
      </c>
    </row>
    <row r="60" spans="1:2" x14ac:dyDescent="0.25">
      <c r="A60" t="s">
        <v>33</v>
      </c>
      <c r="B60" s="2">
        <v>134079</v>
      </c>
    </row>
    <row r="61" spans="1:2" x14ac:dyDescent="0.25">
      <c r="A61" t="s">
        <v>38</v>
      </c>
      <c r="B61" s="2">
        <v>10909</v>
      </c>
    </row>
    <row r="62" spans="1:2" x14ac:dyDescent="0.25">
      <c r="A62" t="s">
        <v>34</v>
      </c>
      <c r="B62" s="2">
        <v>-53792</v>
      </c>
    </row>
    <row r="63" spans="1:2" x14ac:dyDescent="0.25">
      <c r="A63" s="3" t="s">
        <v>44</v>
      </c>
      <c r="B63" s="4">
        <f>SUM(B60:B62)</f>
        <v>91196</v>
      </c>
    </row>
    <row r="64" spans="1:2" x14ac:dyDescent="0.25">
      <c r="A64" t="s">
        <v>33</v>
      </c>
      <c r="B64" s="2">
        <v>52206</v>
      </c>
    </row>
    <row r="65" spans="1:2" x14ac:dyDescent="0.25">
      <c r="A65" t="s">
        <v>38</v>
      </c>
      <c r="B65" s="2">
        <v>67101</v>
      </c>
    </row>
    <row r="66" spans="1:2" x14ac:dyDescent="0.25">
      <c r="A66" s="3" t="s">
        <v>45</v>
      </c>
      <c r="B66" s="4">
        <f>SUM(B64:B65)</f>
        <v>119307</v>
      </c>
    </row>
    <row r="67" spans="1:2" x14ac:dyDescent="0.25">
      <c r="A67" s="3" t="s">
        <v>51</v>
      </c>
      <c r="B67" s="4"/>
    </row>
    <row r="68" spans="1:2" x14ac:dyDescent="0.25">
      <c r="A68" t="s">
        <v>33</v>
      </c>
      <c r="B68" s="2">
        <v>213618</v>
      </c>
    </row>
    <row r="69" spans="1:2" x14ac:dyDescent="0.25">
      <c r="A69" t="s">
        <v>38</v>
      </c>
      <c r="B69" s="2">
        <v>458948</v>
      </c>
    </row>
    <row r="70" spans="1:2" x14ac:dyDescent="0.25">
      <c r="A70" t="s">
        <v>34</v>
      </c>
      <c r="B70" s="2">
        <v>-945</v>
      </c>
    </row>
    <row r="71" spans="1:2" x14ac:dyDescent="0.25">
      <c r="A71" s="3" t="s">
        <v>46</v>
      </c>
      <c r="B71" s="4">
        <f>SUM(B68:B70)</f>
        <v>671621</v>
      </c>
    </row>
    <row r="72" spans="1:2" x14ac:dyDescent="0.25">
      <c r="A72" t="s">
        <v>33</v>
      </c>
      <c r="B72" s="2">
        <v>4776</v>
      </c>
    </row>
    <row r="73" spans="1:2" x14ac:dyDescent="0.25">
      <c r="A73" s="3" t="s">
        <v>47</v>
      </c>
      <c r="B73" s="4">
        <f>B72</f>
        <v>4776</v>
      </c>
    </row>
    <row r="74" spans="1:2" x14ac:dyDescent="0.25">
      <c r="A74" t="s">
        <v>33</v>
      </c>
      <c r="B74" s="2">
        <v>23980</v>
      </c>
    </row>
    <row r="75" spans="1:2" x14ac:dyDescent="0.25">
      <c r="A75" t="s">
        <v>38</v>
      </c>
      <c r="B75" s="2">
        <v>11155</v>
      </c>
    </row>
    <row r="76" spans="1:2" x14ac:dyDescent="0.25">
      <c r="A76" s="3" t="s">
        <v>48</v>
      </c>
      <c r="B76" s="4">
        <f>SUM(B74:B75)</f>
        <v>35135</v>
      </c>
    </row>
    <row r="77" spans="1:2" x14ac:dyDescent="0.25">
      <c r="A77" s="5" t="s">
        <v>102</v>
      </c>
      <c r="B77" s="6">
        <f>B39+B41+B43+B47+B51+B53+B55+B59+B63+B66+B71+B73+B76</f>
        <v>9675870</v>
      </c>
    </row>
    <row r="78" spans="1:2" x14ac:dyDescent="0.25">
      <c r="A78" t="s">
        <v>49</v>
      </c>
      <c r="B78" s="2">
        <f>B12</f>
        <v>9675870</v>
      </c>
    </row>
    <row r="79" spans="1:2" x14ac:dyDescent="0.25">
      <c r="A79" s="3" t="s">
        <v>52</v>
      </c>
    </row>
    <row r="80" spans="1:2" x14ac:dyDescent="0.25">
      <c r="A80" t="s">
        <v>33</v>
      </c>
      <c r="B80" s="2">
        <v>819901</v>
      </c>
    </row>
    <row r="81" spans="1:2" x14ac:dyDescent="0.25">
      <c r="A81" t="s">
        <v>34</v>
      </c>
      <c r="B81" s="2">
        <v>-9493</v>
      </c>
    </row>
    <row r="82" spans="1:2" x14ac:dyDescent="0.25">
      <c r="A82" s="3" t="s">
        <v>53</v>
      </c>
      <c r="B82" s="4">
        <f>B80+B81</f>
        <v>810408</v>
      </c>
    </row>
    <row r="83" spans="1:2" x14ac:dyDescent="0.25">
      <c r="A83" t="s">
        <v>33</v>
      </c>
      <c r="B83" s="2">
        <v>1364918</v>
      </c>
    </row>
    <row r="84" spans="1:2" x14ac:dyDescent="0.25">
      <c r="A84" t="s">
        <v>34</v>
      </c>
      <c r="B84" s="2">
        <v>-690</v>
      </c>
    </row>
    <row r="85" spans="1:2" x14ac:dyDescent="0.25">
      <c r="A85" s="3" t="s">
        <v>54</v>
      </c>
      <c r="B85" s="4">
        <f>SUM(B83:B84)</f>
        <v>1364228</v>
      </c>
    </row>
    <row r="86" spans="1:2" x14ac:dyDescent="0.25">
      <c r="A86" t="s">
        <v>33</v>
      </c>
      <c r="B86" s="2">
        <v>1690205</v>
      </c>
    </row>
    <row r="87" spans="1:2" x14ac:dyDescent="0.25">
      <c r="A87" t="s">
        <v>38</v>
      </c>
      <c r="B87" s="2">
        <v>2084821</v>
      </c>
    </row>
    <row r="88" spans="1:2" x14ac:dyDescent="0.25">
      <c r="A88" t="s">
        <v>34</v>
      </c>
      <c r="B88" s="2">
        <v>-162433</v>
      </c>
    </row>
    <row r="89" spans="1:2" x14ac:dyDescent="0.25">
      <c r="A89" s="3" t="s">
        <v>55</v>
      </c>
      <c r="B89" s="4">
        <f>SUM(B86:B88)</f>
        <v>3612593</v>
      </c>
    </row>
    <row r="90" spans="1:2" x14ac:dyDescent="0.25">
      <c r="A90" t="s">
        <v>33</v>
      </c>
      <c r="B90" s="2">
        <v>686271</v>
      </c>
    </row>
    <row r="91" spans="1:2" x14ac:dyDescent="0.25">
      <c r="A91" t="s">
        <v>34</v>
      </c>
      <c r="B91" s="2">
        <v>-1479</v>
      </c>
    </row>
    <row r="92" spans="1:2" x14ac:dyDescent="0.25">
      <c r="A92" s="3" t="s">
        <v>56</v>
      </c>
      <c r="B92" s="4">
        <f>SUM(B90:B91)</f>
        <v>684792</v>
      </c>
    </row>
    <row r="93" spans="1:2" x14ac:dyDescent="0.25">
      <c r="A93" t="s">
        <v>33</v>
      </c>
      <c r="B93" s="2">
        <v>276433</v>
      </c>
    </row>
    <row r="94" spans="1:2" x14ac:dyDescent="0.25">
      <c r="A94" t="s">
        <v>38</v>
      </c>
      <c r="B94" s="2">
        <v>77742</v>
      </c>
    </row>
    <row r="95" spans="1:2" x14ac:dyDescent="0.25">
      <c r="A95" t="s">
        <v>34</v>
      </c>
      <c r="B95" s="2">
        <v>-20705</v>
      </c>
    </row>
    <row r="96" spans="1:2" x14ac:dyDescent="0.25">
      <c r="A96" s="3" t="s">
        <v>57</v>
      </c>
      <c r="B96" s="4">
        <f>SUM(B93:B95)</f>
        <v>333470</v>
      </c>
    </row>
    <row r="97" spans="1:2" x14ac:dyDescent="0.25">
      <c r="A97" t="s">
        <v>33</v>
      </c>
      <c r="B97" s="2">
        <v>330022</v>
      </c>
    </row>
    <row r="98" spans="1:2" x14ac:dyDescent="0.25">
      <c r="A98" t="s">
        <v>38</v>
      </c>
      <c r="B98" s="2">
        <v>3358</v>
      </c>
    </row>
    <row r="99" spans="1:2" x14ac:dyDescent="0.25">
      <c r="A99" t="s">
        <v>34</v>
      </c>
      <c r="B99" s="2">
        <v>-3123</v>
      </c>
    </row>
    <row r="100" spans="1:2" x14ac:dyDescent="0.25">
      <c r="A100" s="3" t="s">
        <v>58</v>
      </c>
      <c r="B100" s="4">
        <f>SUM(B97:B99)</f>
        <v>330257</v>
      </c>
    </row>
    <row r="101" spans="1:2" x14ac:dyDescent="0.25">
      <c r="A101" t="s">
        <v>33</v>
      </c>
      <c r="B101" s="2">
        <v>962862</v>
      </c>
    </row>
    <row r="102" spans="1:2" x14ac:dyDescent="0.25">
      <c r="A102" t="s">
        <v>38</v>
      </c>
      <c r="B102" s="2">
        <v>83792</v>
      </c>
    </row>
    <row r="103" spans="1:2" x14ac:dyDescent="0.25">
      <c r="A103" t="s">
        <v>34</v>
      </c>
      <c r="B103" s="2">
        <v>-40247</v>
      </c>
    </row>
    <row r="104" spans="1:2" x14ac:dyDescent="0.25">
      <c r="A104" s="3" t="s">
        <v>59</v>
      </c>
      <c r="B104" s="4">
        <f>SUM(B101:B103)</f>
        <v>1006407</v>
      </c>
    </row>
    <row r="105" spans="1:2" x14ac:dyDescent="0.25">
      <c r="A105" t="s">
        <v>33</v>
      </c>
      <c r="B105" s="2">
        <v>431203</v>
      </c>
    </row>
    <row r="106" spans="1:2" x14ac:dyDescent="0.25">
      <c r="A106" t="s">
        <v>38</v>
      </c>
      <c r="B106" s="2">
        <v>196492</v>
      </c>
    </row>
    <row r="107" spans="1:2" x14ac:dyDescent="0.25">
      <c r="A107" t="s">
        <v>34</v>
      </c>
      <c r="B107" s="2">
        <v>-55625</v>
      </c>
    </row>
    <row r="108" spans="1:2" x14ac:dyDescent="0.25">
      <c r="A108" s="3" t="s">
        <v>60</v>
      </c>
      <c r="B108" s="4">
        <f>SUM(B105:B107)</f>
        <v>572070</v>
      </c>
    </row>
    <row r="109" spans="1:2" x14ac:dyDescent="0.25">
      <c r="A109" s="5" t="s">
        <v>101</v>
      </c>
      <c r="B109" s="6">
        <f>B82+B85+B89+B92+B96+B100+B104+B108</f>
        <v>8714225</v>
      </c>
    </row>
    <row r="110" spans="1:2" x14ac:dyDescent="0.25">
      <c r="A110" t="s">
        <v>49</v>
      </c>
      <c r="B110" s="2">
        <f>B21</f>
        <v>8714225</v>
      </c>
    </row>
    <row r="111" spans="1:2" x14ac:dyDescent="0.25">
      <c r="B111" s="2"/>
    </row>
    <row r="112" spans="1:2" x14ac:dyDescent="0.25">
      <c r="A112" s="3" t="s">
        <v>103</v>
      </c>
      <c r="B112" s="2"/>
    </row>
    <row r="113" spans="1:3" x14ac:dyDescent="0.25">
      <c r="B113" s="2"/>
    </row>
    <row r="114" spans="1:3" x14ac:dyDescent="0.25">
      <c r="A114" t="s">
        <v>33</v>
      </c>
      <c r="B114" s="2">
        <v>12775</v>
      </c>
    </row>
    <row r="115" spans="1:3" x14ac:dyDescent="0.25">
      <c r="A115" t="s">
        <v>38</v>
      </c>
      <c r="B115" s="2">
        <v>186</v>
      </c>
    </row>
    <row r="116" spans="1:3" x14ac:dyDescent="0.25">
      <c r="A116" s="3" t="s">
        <v>106</v>
      </c>
      <c r="B116" s="4">
        <f>SUM(B114:B115)</f>
        <v>12961</v>
      </c>
      <c r="C116" t="s">
        <v>105</v>
      </c>
    </row>
    <row r="117" spans="1:3" x14ac:dyDescent="0.25">
      <c r="A117" t="s">
        <v>33</v>
      </c>
      <c r="B117" s="2">
        <v>2257990</v>
      </c>
    </row>
    <row r="118" spans="1:3" x14ac:dyDescent="0.25">
      <c r="A118" t="s">
        <v>38</v>
      </c>
      <c r="B118" s="2">
        <v>915583</v>
      </c>
    </row>
    <row r="119" spans="1:3" x14ac:dyDescent="0.25">
      <c r="A119" t="s">
        <v>34</v>
      </c>
      <c r="B119" s="2">
        <v>-35560</v>
      </c>
    </row>
    <row r="120" spans="1:3" x14ac:dyDescent="0.25">
      <c r="A120" s="3" t="s">
        <v>107</v>
      </c>
      <c r="B120" s="4">
        <f>SUM(B117:B119)</f>
        <v>3138013</v>
      </c>
      <c r="C120" t="s">
        <v>105</v>
      </c>
    </row>
    <row r="121" spans="1:3" x14ac:dyDescent="0.25">
      <c r="A121" t="s">
        <v>33</v>
      </c>
      <c r="B121" s="2">
        <v>4627</v>
      </c>
    </row>
    <row r="122" spans="1:3" x14ac:dyDescent="0.25">
      <c r="A122" t="s">
        <v>38</v>
      </c>
      <c r="B122" s="2">
        <v>30</v>
      </c>
    </row>
    <row r="123" spans="1:3" x14ac:dyDescent="0.25">
      <c r="A123" s="3" t="s">
        <v>108</v>
      </c>
      <c r="B123" s="4">
        <f>B121+B122</f>
        <v>4657</v>
      </c>
    </row>
    <row r="124" spans="1:3" x14ac:dyDescent="0.25">
      <c r="A124" t="s">
        <v>33</v>
      </c>
      <c r="B124" s="2">
        <v>511613</v>
      </c>
    </row>
    <row r="125" spans="1:3" x14ac:dyDescent="0.25">
      <c r="A125" t="s">
        <v>38</v>
      </c>
      <c r="B125" s="2">
        <v>305310</v>
      </c>
    </row>
    <row r="126" spans="1:3" x14ac:dyDescent="0.25">
      <c r="A126" s="3" t="s">
        <v>109</v>
      </c>
      <c r="B126" s="4">
        <f>B124+B125</f>
        <v>816923</v>
      </c>
    </row>
    <row r="127" spans="1:3" x14ac:dyDescent="0.25">
      <c r="A127" t="s">
        <v>33</v>
      </c>
      <c r="B127" s="2">
        <v>34066</v>
      </c>
    </row>
    <row r="128" spans="1:3" x14ac:dyDescent="0.25">
      <c r="A128" t="s">
        <v>38</v>
      </c>
      <c r="B128" s="2">
        <v>15636</v>
      </c>
    </row>
    <row r="129" spans="1:3" x14ac:dyDescent="0.25">
      <c r="A129" s="3" t="s">
        <v>110</v>
      </c>
      <c r="B129" s="4">
        <f>B127+B128</f>
        <v>49702</v>
      </c>
    </row>
    <row r="130" spans="1:3" x14ac:dyDescent="0.25">
      <c r="A130" t="s">
        <v>33</v>
      </c>
      <c r="B130" s="2">
        <v>148712</v>
      </c>
    </row>
    <row r="131" spans="1:3" x14ac:dyDescent="0.25">
      <c r="A131" t="s">
        <v>38</v>
      </c>
      <c r="B131" s="2">
        <v>44697</v>
      </c>
    </row>
    <row r="132" spans="1:3" x14ac:dyDescent="0.25">
      <c r="A132" t="s">
        <v>34</v>
      </c>
      <c r="B132" s="2">
        <v>-95171</v>
      </c>
    </row>
    <row r="133" spans="1:3" x14ac:dyDescent="0.25">
      <c r="A133" s="3" t="s">
        <v>111</v>
      </c>
      <c r="B133" s="4">
        <f>SUM(B130:B132)</f>
        <v>98238</v>
      </c>
      <c r="C133" t="s">
        <v>113</v>
      </c>
    </row>
    <row r="134" spans="1:3" x14ac:dyDescent="0.25">
      <c r="A134" t="s">
        <v>33</v>
      </c>
      <c r="B134" s="2">
        <v>566232</v>
      </c>
    </row>
    <row r="135" spans="1:3" x14ac:dyDescent="0.25">
      <c r="A135" t="s">
        <v>38</v>
      </c>
      <c r="B135" s="2">
        <v>131212</v>
      </c>
    </row>
    <row r="136" spans="1:3" x14ac:dyDescent="0.25">
      <c r="A136" t="s">
        <v>34</v>
      </c>
      <c r="B136" s="2">
        <v>-15733</v>
      </c>
    </row>
    <row r="137" spans="1:3" x14ac:dyDescent="0.25">
      <c r="A137" s="3" t="s">
        <v>112</v>
      </c>
      <c r="B137" s="4">
        <f>SUM(B134:B136)</f>
        <v>681711</v>
      </c>
      <c r="C137" t="s">
        <v>113</v>
      </c>
    </row>
    <row r="138" spans="1:3" x14ac:dyDescent="0.25">
      <c r="A138" t="s">
        <v>33</v>
      </c>
      <c r="B138" s="2">
        <v>4396</v>
      </c>
    </row>
    <row r="139" spans="1:3" x14ac:dyDescent="0.25">
      <c r="A139" t="s">
        <v>38</v>
      </c>
      <c r="B139" s="2">
        <v>23926</v>
      </c>
    </row>
    <row r="140" spans="1:3" x14ac:dyDescent="0.25">
      <c r="A140" t="s">
        <v>34</v>
      </c>
      <c r="B140" s="2">
        <v>-52</v>
      </c>
    </row>
    <row r="141" spans="1:3" x14ac:dyDescent="0.25">
      <c r="A141" s="3" t="s">
        <v>114</v>
      </c>
      <c r="B141" s="4">
        <f>SUM(B138:B140)</f>
        <v>28270</v>
      </c>
      <c r="C141" t="s">
        <v>113</v>
      </c>
    </row>
    <row r="142" spans="1:3" x14ac:dyDescent="0.25">
      <c r="A142" t="s">
        <v>33</v>
      </c>
      <c r="B142" s="2">
        <v>103871</v>
      </c>
    </row>
    <row r="143" spans="1:3" x14ac:dyDescent="0.25">
      <c r="A143" t="s">
        <v>38</v>
      </c>
      <c r="B143" s="2">
        <v>26139</v>
      </c>
    </row>
    <row r="144" spans="1:3" x14ac:dyDescent="0.25">
      <c r="A144" t="s">
        <v>34</v>
      </c>
      <c r="B144" s="2">
        <v>-19330</v>
      </c>
    </row>
    <row r="145" spans="1:3" x14ac:dyDescent="0.25">
      <c r="A145" s="3" t="s">
        <v>115</v>
      </c>
      <c r="B145" s="4">
        <f>SUM(B142:B144)</f>
        <v>110680</v>
      </c>
      <c r="C145" t="s">
        <v>120</v>
      </c>
    </row>
    <row r="146" spans="1:3" x14ac:dyDescent="0.25">
      <c r="A146" t="s">
        <v>33</v>
      </c>
      <c r="B146" s="2">
        <v>92851</v>
      </c>
    </row>
    <row r="147" spans="1:3" x14ac:dyDescent="0.25">
      <c r="A147" t="s">
        <v>38</v>
      </c>
      <c r="B147" s="2">
        <v>97767</v>
      </c>
    </row>
    <row r="148" spans="1:3" x14ac:dyDescent="0.25">
      <c r="A148" t="s">
        <v>34</v>
      </c>
      <c r="B148" s="2">
        <v>-39</v>
      </c>
    </row>
    <row r="149" spans="1:3" x14ac:dyDescent="0.25">
      <c r="A149" s="3" t="s">
        <v>116</v>
      </c>
      <c r="B149" s="4">
        <f>SUM(B146:B148)</f>
        <v>190579</v>
      </c>
      <c r="C149" t="s">
        <v>120</v>
      </c>
    </row>
    <row r="150" spans="1:3" x14ac:dyDescent="0.25">
      <c r="A150" t="s">
        <v>33</v>
      </c>
      <c r="B150" s="2">
        <v>30719</v>
      </c>
    </row>
    <row r="151" spans="1:3" x14ac:dyDescent="0.25">
      <c r="A151" s="3" t="s">
        <v>117</v>
      </c>
      <c r="B151" s="4">
        <f>B150</f>
        <v>30719</v>
      </c>
      <c r="C151" t="s">
        <v>119</v>
      </c>
    </row>
    <row r="152" spans="1:3" x14ac:dyDescent="0.25">
      <c r="A152" t="s">
        <v>33</v>
      </c>
      <c r="B152" s="2">
        <v>11317</v>
      </c>
    </row>
    <row r="153" spans="1:3" x14ac:dyDescent="0.25">
      <c r="A153" t="s">
        <v>38</v>
      </c>
      <c r="B153" s="2">
        <v>4</v>
      </c>
    </row>
    <row r="154" spans="1:3" x14ac:dyDescent="0.25">
      <c r="A154" s="3" t="s">
        <v>118</v>
      </c>
      <c r="B154" s="4">
        <f>SUM(B152:B153)</f>
        <v>11321</v>
      </c>
      <c r="C154" t="s">
        <v>119</v>
      </c>
    </row>
    <row r="155" spans="1:3" x14ac:dyDescent="0.25">
      <c r="A155" t="s">
        <v>33</v>
      </c>
      <c r="B155" s="2">
        <v>84532</v>
      </c>
    </row>
    <row r="156" spans="1:3" x14ac:dyDescent="0.25">
      <c r="A156" t="s">
        <v>38</v>
      </c>
      <c r="B156" s="2">
        <v>11249</v>
      </c>
    </row>
    <row r="157" spans="1:3" x14ac:dyDescent="0.25">
      <c r="A157" t="s">
        <v>34</v>
      </c>
      <c r="B157" s="2">
        <v>-347</v>
      </c>
    </row>
    <row r="158" spans="1:3" x14ac:dyDescent="0.25">
      <c r="A158" s="3" t="s">
        <v>121</v>
      </c>
      <c r="B158" s="4">
        <f>SUM(B155:B157)</f>
        <v>95434</v>
      </c>
      <c r="C158" t="s">
        <v>123</v>
      </c>
    </row>
    <row r="159" spans="1:3" x14ac:dyDescent="0.25">
      <c r="A159" t="s">
        <v>33</v>
      </c>
      <c r="B159" s="2">
        <v>190612</v>
      </c>
    </row>
    <row r="160" spans="1:3" x14ac:dyDescent="0.25">
      <c r="A160" t="s">
        <v>38</v>
      </c>
      <c r="B160" s="2">
        <v>198047</v>
      </c>
    </row>
    <row r="161" spans="1:3" x14ac:dyDescent="0.25">
      <c r="A161" t="s">
        <v>34</v>
      </c>
      <c r="B161" s="2">
        <v>-13127</v>
      </c>
    </row>
    <row r="162" spans="1:3" x14ac:dyDescent="0.25">
      <c r="A162" s="3" t="s">
        <v>122</v>
      </c>
      <c r="B162" s="4">
        <f>SUM(B159:B161)</f>
        <v>375532</v>
      </c>
      <c r="C162" t="s">
        <v>123</v>
      </c>
    </row>
    <row r="163" spans="1:3" x14ac:dyDescent="0.25">
      <c r="A163" t="s">
        <v>33</v>
      </c>
      <c r="B163" s="2">
        <v>331894</v>
      </c>
    </row>
    <row r="164" spans="1:3" x14ac:dyDescent="0.25">
      <c r="A164" t="s">
        <v>38</v>
      </c>
      <c r="B164" s="2">
        <v>65570</v>
      </c>
    </row>
    <row r="165" spans="1:3" x14ac:dyDescent="0.25">
      <c r="A165" t="s">
        <v>34</v>
      </c>
      <c r="B165" s="2">
        <v>-1833</v>
      </c>
    </row>
    <row r="166" spans="1:3" x14ac:dyDescent="0.25">
      <c r="A166" s="3" t="s">
        <v>124</v>
      </c>
      <c r="B166" s="4">
        <f>SUM(B163:B165)</f>
        <v>395631</v>
      </c>
      <c r="C166" t="s">
        <v>18</v>
      </c>
    </row>
    <row r="167" spans="1:3" x14ac:dyDescent="0.25">
      <c r="A167" t="s">
        <v>33</v>
      </c>
      <c r="B167" s="2">
        <v>16459</v>
      </c>
    </row>
    <row r="168" spans="1:3" x14ac:dyDescent="0.25">
      <c r="A168" t="s">
        <v>38</v>
      </c>
      <c r="B168" s="2">
        <v>83237</v>
      </c>
    </row>
    <row r="169" spans="1:3" x14ac:dyDescent="0.25">
      <c r="A169" s="3" t="s">
        <v>125</v>
      </c>
      <c r="B169" s="4">
        <f>SUM(B167:B168)</f>
        <v>99696</v>
      </c>
      <c r="C169" t="s">
        <v>18</v>
      </c>
    </row>
    <row r="170" spans="1:3" x14ac:dyDescent="0.25">
      <c r="A170" t="s">
        <v>33</v>
      </c>
      <c r="B170" s="2">
        <v>76545</v>
      </c>
    </row>
    <row r="171" spans="1:3" x14ac:dyDescent="0.25">
      <c r="A171" t="s">
        <v>34</v>
      </c>
      <c r="B171" s="2">
        <v>-53792</v>
      </c>
    </row>
    <row r="172" spans="1:3" x14ac:dyDescent="0.25">
      <c r="A172" s="3" t="s">
        <v>126</v>
      </c>
      <c r="B172" s="4">
        <f>SUM(B170:B171)</f>
        <v>22753</v>
      </c>
      <c r="C172" t="s">
        <v>18</v>
      </c>
    </row>
    <row r="173" spans="1:3" x14ac:dyDescent="0.25">
      <c r="A173" t="s">
        <v>33</v>
      </c>
      <c r="B173" s="2">
        <v>6307</v>
      </c>
    </row>
    <row r="174" spans="1:3" x14ac:dyDescent="0.25">
      <c r="A174" t="s">
        <v>38</v>
      </c>
      <c r="B174" s="2">
        <v>47685</v>
      </c>
    </row>
    <row r="175" spans="1:3" x14ac:dyDescent="0.25">
      <c r="A175" s="3" t="s">
        <v>127</v>
      </c>
      <c r="B175" s="4">
        <f>SUM(B173:B174)</f>
        <v>53992</v>
      </c>
    </row>
    <row r="176" spans="1:3" x14ac:dyDescent="0.25">
      <c r="A176" t="s">
        <v>33</v>
      </c>
      <c r="B176" s="2">
        <v>42415</v>
      </c>
    </row>
    <row r="177" spans="1:2" x14ac:dyDescent="0.25">
      <c r="A177" s="3" t="s">
        <v>128</v>
      </c>
      <c r="B177" s="4">
        <f>B176</f>
        <v>42415</v>
      </c>
    </row>
    <row r="178" spans="1:2" x14ac:dyDescent="0.25">
      <c r="A178" t="s">
        <v>33</v>
      </c>
      <c r="B178" s="2">
        <v>722174</v>
      </c>
    </row>
    <row r="179" spans="1:2" x14ac:dyDescent="0.25">
      <c r="A179" s="3" t="s">
        <v>129</v>
      </c>
      <c r="B179" s="4">
        <f>B178</f>
        <v>722174</v>
      </c>
    </row>
    <row r="180" spans="1:2" x14ac:dyDescent="0.25">
      <c r="A180" t="s">
        <v>33</v>
      </c>
      <c r="B180" s="2">
        <v>38525</v>
      </c>
    </row>
    <row r="181" spans="1:2" x14ac:dyDescent="0.25">
      <c r="A181" t="s">
        <v>34</v>
      </c>
      <c r="B181" s="2">
        <v>-38784</v>
      </c>
    </row>
    <row r="182" spans="1:2" x14ac:dyDescent="0.25">
      <c r="A182" s="3" t="s">
        <v>75</v>
      </c>
      <c r="B182" s="4">
        <f>B180+B181</f>
        <v>-259</v>
      </c>
    </row>
    <row r="183" spans="1:2" x14ac:dyDescent="0.25">
      <c r="A183" t="s">
        <v>33</v>
      </c>
      <c r="B183" s="2">
        <v>20092</v>
      </c>
    </row>
    <row r="184" spans="1:2" x14ac:dyDescent="0.25">
      <c r="A184" s="3" t="s">
        <v>130</v>
      </c>
      <c r="B184" s="4">
        <f>B183</f>
        <v>20092</v>
      </c>
    </row>
    <row r="185" spans="1:2" x14ac:dyDescent="0.25">
      <c r="A185" t="s">
        <v>33</v>
      </c>
      <c r="B185" s="2">
        <v>117164</v>
      </c>
    </row>
    <row r="186" spans="1:2" x14ac:dyDescent="0.25">
      <c r="A186" s="3" t="s">
        <v>131</v>
      </c>
      <c r="B186" s="4">
        <f>B185</f>
        <v>117164</v>
      </c>
    </row>
    <row r="187" spans="1:2" x14ac:dyDescent="0.25">
      <c r="A187" t="s">
        <v>33</v>
      </c>
      <c r="B187" s="2">
        <v>166726</v>
      </c>
    </row>
    <row r="188" spans="1:2" x14ac:dyDescent="0.25">
      <c r="A188" s="3" t="s">
        <v>132</v>
      </c>
      <c r="B188" s="4">
        <f>B187</f>
        <v>166726</v>
      </c>
    </row>
    <row r="189" spans="1:2" x14ac:dyDescent="0.25">
      <c r="A189" t="s">
        <v>33</v>
      </c>
      <c r="B189" s="2">
        <v>61029</v>
      </c>
    </row>
    <row r="190" spans="1:2" x14ac:dyDescent="0.25">
      <c r="A190" s="3" t="s">
        <v>17</v>
      </c>
      <c r="B190" s="4">
        <f>B189</f>
        <v>61029</v>
      </c>
    </row>
    <row r="191" spans="1:2" x14ac:dyDescent="0.25">
      <c r="A191" t="s">
        <v>33</v>
      </c>
      <c r="B191" s="2">
        <v>38186</v>
      </c>
    </row>
    <row r="192" spans="1:2" x14ac:dyDescent="0.25">
      <c r="A192" s="3" t="s">
        <v>133</v>
      </c>
      <c r="B192" s="4">
        <f>B191</f>
        <v>38186</v>
      </c>
    </row>
    <row r="193" spans="1:2" x14ac:dyDescent="0.25">
      <c r="A193" t="s">
        <v>33</v>
      </c>
      <c r="B193" s="2">
        <v>30231</v>
      </c>
    </row>
    <row r="194" spans="1:2" x14ac:dyDescent="0.25">
      <c r="A194" s="3" t="s">
        <v>134</v>
      </c>
      <c r="B194" s="4">
        <f>B193</f>
        <v>30231</v>
      </c>
    </row>
    <row r="195" spans="1:2" x14ac:dyDescent="0.25">
      <c r="A195" t="s">
        <v>33</v>
      </c>
      <c r="B195" s="2">
        <v>13899</v>
      </c>
    </row>
    <row r="196" spans="1:2" x14ac:dyDescent="0.25">
      <c r="A196" t="s">
        <v>38</v>
      </c>
      <c r="B196" s="2">
        <v>15608</v>
      </c>
    </row>
    <row r="197" spans="1:2" x14ac:dyDescent="0.25">
      <c r="A197" t="s">
        <v>34</v>
      </c>
      <c r="B197" s="2">
        <v>-2146</v>
      </c>
    </row>
    <row r="198" spans="1:2" x14ac:dyDescent="0.25">
      <c r="A198" s="3" t="s">
        <v>75</v>
      </c>
      <c r="B198" s="4">
        <f>SUM(B195:B197)</f>
        <v>27361</v>
      </c>
    </row>
    <row r="199" spans="1:2" x14ac:dyDescent="0.25">
      <c r="A199" t="s">
        <v>33</v>
      </c>
      <c r="B199" s="2">
        <v>715753</v>
      </c>
    </row>
    <row r="200" spans="1:2" x14ac:dyDescent="0.25">
      <c r="A200" t="s">
        <v>38</v>
      </c>
      <c r="B200" s="2">
        <v>426013</v>
      </c>
    </row>
    <row r="201" spans="1:2" x14ac:dyDescent="0.25">
      <c r="A201" s="3" t="s">
        <v>135</v>
      </c>
      <c r="B201" s="4">
        <f>SUM(B199:B200)</f>
        <v>1141766</v>
      </c>
    </row>
    <row r="202" spans="1:2" x14ac:dyDescent="0.25">
      <c r="A202" t="s">
        <v>33</v>
      </c>
      <c r="B202" s="2">
        <v>12542</v>
      </c>
    </row>
    <row r="203" spans="1:2" x14ac:dyDescent="0.25">
      <c r="A203" t="s">
        <v>38</v>
      </c>
      <c r="B203" s="2">
        <v>11365</v>
      </c>
    </row>
    <row r="204" spans="1:2" x14ac:dyDescent="0.25">
      <c r="A204" s="3" t="s">
        <v>136</v>
      </c>
      <c r="B204" s="4">
        <f>SUM(B202:B203)</f>
        <v>23907</v>
      </c>
    </row>
    <row r="205" spans="1:2" x14ac:dyDescent="0.25">
      <c r="A205" t="s">
        <v>33</v>
      </c>
      <c r="B205" s="2">
        <f>25244-3623+75940</f>
        <v>97561</v>
      </c>
    </row>
    <row r="206" spans="1:2" x14ac:dyDescent="0.25">
      <c r="A206" t="s">
        <v>38</v>
      </c>
      <c r="B206" s="2">
        <f>1153+25788</f>
        <v>26941</v>
      </c>
    </row>
    <row r="207" spans="1:2" x14ac:dyDescent="0.25">
      <c r="A207" t="s">
        <v>34</v>
      </c>
      <c r="B207" s="2">
        <v>-17881</v>
      </c>
    </row>
    <row r="208" spans="1:2" x14ac:dyDescent="0.25">
      <c r="A208" s="3" t="s">
        <v>137</v>
      </c>
      <c r="B208" s="4">
        <f>SUM(B205:B207)</f>
        <v>106621</v>
      </c>
    </row>
    <row r="209" spans="1:4" x14ac:dyDescent="0.25">
      <c r="A209" s="3" t="s">
        <v>19</v>
      </c>
      <c r="B209" s="4">
        <f>B116+B120+B123+B126+B129+B133+B137+B141+B145+B149+B151+B154+B158+B162+B166+B169+B172+B175+B177+B179+B182+B184+B186+B188+B190+B192+B194+B198+B201+B204+B208</f>
        <v>8714225</v>
      </c>
    </row>
    <row r="210" spans="1:4" x14ac:dyDescent="0.25">
      <c r="B210" s="2"/>
    </row>
    <row r="211" spans="1:4" x14ac:dyDescent="0.25">
      <c r="B211" s="2"/>
    </row>
    <row r="212" spans="1:4" x14ac:dyDescent="0.25">
      <c r="B212" s="2"/>
    </row>
    <row r="214" spans="1:4" x14ac:dyDescent="0.25">
      <c r="A214" s="3" t="s">
        <v>65</v>
      </c>
    </row>
    <row r="215" spans="1:4" x14ac:dyDescent="0.25">
      <c r="A215" t="s">
        <v>62</v>
      </c>
      <c r="B215" s="2">
        <f>B23</f>
        <v>2827359</v>
      </c>
    </row>
    <row r="216" spans="1:4" x14ac:dyDescent="0.25">
      <c r="A216" t="s">
        <v>63</v>
      </c>
      <c r="B216" s="2">
        <f>B25</f>
        <v>1141766</v>
      </c>
    </row>
    <row r="217" spans="1:4" x14ac:dyDescent="0.25">
      <c r="A217" t="s">
        <v>64</v>
      </c>
      <c r="B217" s="2">
        <v>1332632</v>
      </c>
      <c r="D217" s="2"/>
    </row>
    <row r="218" spans="1:4" x14ac:dyDescent="0.25">
      <c r="A218" t="s">
        <v>66</v>
      </c>
      <c r="B218" s="2">
        <v>577939</v>
      </c>
      <c r="D218" s="2"/>
    </row>
    <row r="219" spans="1:4" x14ac:dyDescent="0.25">
      <c r="A219" t="s">
        <v>67</v>
      </c>
      <c r="B219" s="2">
        <v>7921</v>
      </c>
      <c r="D219" s="2"/>
    </row>
    <row r="220" spans="1:4" x14ac:dyDescent="0.25">
      <c r="A220" t="s">
        <v>68</v>
      </c>
      <c r="B220" s="2">
        <v>21108</v>
      </c>
      <c r="D220" s="2"/>
    </row>
    <row r="221" spans="1:4" x14ac:dyDescent="0.25">
      <c r="A221" t="s">
        <v>69</v>
      </c>
      <c r="B221" s="2">
        <v>464287</v>
      </c>
      <c r="D221" s="2"/>
    </row>
    <row r="222" spans="1:4" x14ac:dyDescent="0.25">
      <c r="A222" t="s">
        <v>70</v>
      </c>
      <c r="B222" s="2">
        <v>35452</v>
      </c>
      <c r="D222" s="2"/>
    </row>
    <row r="223" spans="1:4" x14ac:dyDescent="0.25">
      <c r="A223" t="s">
        <v>71</v>
      </c>
      <c r="B223" s="2">
        <v>65380</v>
      </c>
      <c r="D223" s="2"/>
    </row>
    <row r="224" spans="1:4" x14ac:dyDescent="0.25">
      <c r="A224" t="s">
        <v>72</v>
      </c>
      <c r="B224" s="2">
        <v>159406</v>
      </c>
      <c r="D224" s="2"/>
    </row>
    <row r="225" spans="1:4" x14ac:dyDescent="0.25">
      <c r="A225" t="s">
        <v>73</v>
      </c>
      <c r="B225" s="2">
        <v>40644</v>
      </c>
      <c r="D225" s="2"/>
    </row>
    <row r="226" spans="1:4" x14ac:dyDescent="0.25">
      <c r="A226" t="s">
        <v>74</v>
      </c>
      <c r="B226" s="2">
        <v>113205</v>
      </c>
    </row>
    <row r="227" spans="1:4" x14ac:dyDescent="0.25">
      <c r="A227" t="s">
        <v>75</v>
      </c>
      <c r="B227" s="2">
        <v>9385</v>
      </c>
    </row>
    <row r="228" spans="1:4" x14ac:dyDescent="0.25">
      <c r="A228" s="3" t="s">
        <v>76</v>
      </c>
      <c r="B228" s="4">
        <f>SUM(B217:B227)</f>
        <v>2827359</v>
      </c>
    </row>
    <row r="229" spans="1:4" x14ac:dyDescent="0.25">
      <c r="A229" t="s">
        <v>64</v>
      </c>
      <c r="B229" s="2">
        <v>500881</v>
      </c>
    </row>
    <row r="230" spans="1:4" x14ac:dyDescent="0.25">
      <c r="A230" t="s">
        <v>66</v>
      </c>
      <c r="B230" s="2">
        <v>140286</v>
      </c>
    </row>
    <row r="231" spans="1:4" x14ac:dyDescent="0.25">
      <c r="A231" t="s">
        <v>67</v>
      </c>
      <c r="B231" s="2">
        <v>3503</v>
      </c>
    </row>
    <row r="232" spans="1:4" x14ac:dyDescent="0.25">
      <c r="A232" t="s">
        <v>68</v>
      </c>
      <c r="B232" s="2">
        <v>56088</v>
      </c>
    </row>
    <row r="233" spans="1:4" x14ac:dyDescent="0.25">
      <c r="A233" t="s">
        <v>69</v>
      </c>
      <c r="B233" s="2">
        <v>124114</v>
      </c>
    </row>
    <row r="234" spans="1:4" x14ac:dyDescent="0.25">
      <c r="A234" t="s">
        <v>70</v>
      </c>
      <c r="B234" s="2">
        <v>16587</v>
      </c>
    </row>
    <row r="235" spans="1:4" x14ac:dyDescent="0.25">
      <c r="A235" t="s">
        <v>71</v>
      </c>
      <c r="B235" s="2">
        <v>127655</v>
      </c>
    </row>
    <row r="236" spans="1:4" x14ac:dyDescent="0.25">
      <c r="A236" t="s">
        <v>72</v>
      </c>
      <c r="B236" s="2">
        <v>143496</v>
      </c>
    </row>
    <row r="237" spans="1:4" x14ac:dyDescent="0.25">
      <c r="A237" t="s">
        <v>73</v>
      </c>
      <c r="B237" s="2">
        <v>29156</v>
      </c>
    </row>
    <row r="238" spans="1:4" x14ac:dyDescent="0.25">
      <c r="A238" s="3" t="s">
        <v>77</v>
      </c>
      <c r="B238" s="4">
        <f>SUM(B229:B237)</f>
        <v>1141766</v>
      </c>
    </row>
    <row r="241" spans="1:2" x14ac:dyDescent="0.25">
      <c r="A241" s="3" t="s">
        <v>78</v>
      </c>
    </row>
    <row r="242" spans="1:2" x14ac:dyDescent="0.25">
      <c r="A242" t="s">
        <v>79</v>
      </c>
      <c r="B242" s="2">
        <v>31965</v>
      </c>
    </row>
    <row r="243" spans="1:2" x14ac:dyDescent="0.25">
      <c r="A243" t="s">
        <v>80</v>
      </c>
      <c r="B243" s="2">
        <v>742452</v>
      </c>
    </row>
    <row r="244" spans="1:2" x14ac:dyDescent="0.25">
      <c r="A244" t="s">
        <v>81</v>
      </c>
      <c r="B244" s="2">
        <v>68275</v>
      </c>
    </row>
    <row r="245" spans="1:2" x14ac:dyDescent="0.25">
      <c r="A245" s="3" t="s">
        <v>82</v>
      </c>
      <c r="B245" s="4">
        <f>SUM(B242:B244)</f>
        <v>842692</v>
      </c>
    </row>
    <row r="246" spans="1:2" x14ac:dyDescent="0.25">
      <c r="A246" t="s">
        <v>83</v>
      </c>
      <c r="B246" s="2">
        <v>71892</v>
      </c>
    </row>
    <row r="247" spans="1:2" x14ac:dyDescent="0.25">
      <c r="A247" t="s">
        <v>84</v>
      </c>
      <c r="B247" s="2">
        <v>16651</v>
      </c>
    </row>
    <row r="248" spans="1:2" x14ac:dyDescent="0.25">
      <c r="A248" t="s">
        <v>85</v>
      </c>
      <c r="B248" s="2">
        <v>3633</v>
      </c>
    </row>
    <row r="249" spans="1:2" x14ac:dyDescent="0.25">
      <c r="A249" t="s">
        <v>75</v>
      </c>
      <c r="B249" s="2">
        <v>16924</v>
      </c>
    </row>
    <row r="250" spans="1:2" x14ac:dyDescent="0.25">
      <c r="A250" s="3" t="s">
        <v>79</v>
      </c>
      <c r="B250" s="4">
        <f>SUM(B246:B249)</f>
        <v>109100</v>
      </c>
    </row>
    <row r="251" spans="1:2" x14ac:dyDescent="0.25">
      <c r="A251" t="s">
        <v>86</v>
      </c>
      <c r="B251" s="2">
        <v>320597</v>
      </c>
    </row>
    <row r="252" spans="1:2" x14ac:dyDescent="0.25">
      <c r="A252" t="s">
        <v>83</v>
      </c>
      <c r="B252" s="2">
        <v>154803</v>
      </c>
    </row>
    <row r="253" spans="1:2" x14ac:dyDescent="0.25">
      <c r="A253" t="s">
        <v>87</v>
      </c>
      <c r="B253" s="2">
        <v>3793</v>
      </c>
    </row>
    <row r="254" spans="1:2" x14ac:dyDescent="0.25">
      <c r="A254" t="s">
        <v>84</v>
      </c>
      <c r="B254" s="2">
        <v>16651</v>
      </c>
    </row>
    <row r="255" spans="1:2" x14ac:dyDescent="0.25">
      <c r="A255" t="s">
        <v>88</v>
      </c>
      <c r="B255" s="2">
        <v>64532</v>
      </c>
    </row>
    <row r="256" spans="1:2" x14ac:dyDescent="0.25">
      <c r="A256" t="s">
        <v>75</v>
      </c>
      <c r="B256" s="2">
        <v>-2969</v>
      </c>
    </row>
    <row r="257" spans="1:2" x14ac:dyDescent="0.25">
      <c r="A257" s="3" t="s">
        <v>80</v>
      </c>
      <c r="B257" s="4">
        <f>SUM(B251:B256)</f>
        <v>557407</v>
      </c>
    </row>
    <row r="258" spans="1:2" x14ac:dyDescent="0.25">
      <c r="A258" t="s">
        <v>81</v>
      </c>
      <c r="B258" s="2">
        <v>753</v>
      </c>
    </row>
    <row r="259" spans="1:2" x14ac:dyDescent="0.25">
      <c r="A259" t="s">
        <v>75</v>
      </c>
      <c r="B259" s="2">
        <v>4361</v>
      </c>
    </row>
    <row r="260" spans="1:2" x14ac:dyDescent="0.25">
      <c r="A260" s="3" t="s">
        <v>89</v>
      </c>
      <c r="B260" s="4">
        <f>SUM(B258:B259)</f>
        <v>5114</v>
      </c>
    </row>
    <row r="261" spans="1:2" x14ac:dyDescent="0.25">
      <c r="A261" s="3" t="s">
        <v>90</v>
      </c>
      <c r="B261" s="4">
        <f>B250+B257+B260</f>
        <v>671621</v>
      </c>
    </row>
    <row r="262" spans="1:2" x14ac:dyDescent="0.25">
      <c r="A262" s="3" t="s">
        <v>39</v>
      </c>
      <c r="B262" s="4">
        <f>B261+B245</f>
        <v>1514313</v>
      </c>
    </row>
    <row r="263" spans="1:2" x14ac:dyDescent="0.25">
      <c r="A263" s="3" t="s">
        <v>49</v>
      </c>
      <c r="B263" s="4">
        <f>B5</f>
        <v>1514313</v>
      </c>
    </row>
    <row r="265" spans="1:2" x14ac:dyDescent="0.25">
      <c r="A265" s="3" t="s">
        <v>91</v>
      </c>
    </row>
    <row r="266" spans="1:2" x14ac:dyDescent="0.25">
      <c r="A266" t="s">
        <v>92</v>
      </c>
      <c r="B266" s="2">
        <v>91844</v>
      </c>
    </row>
    <row r="267" spans="1:2" x14ac:dyDescent="0.25">
      <c r="A267" t="s">
        <v>93</v>
      </c>
      <c r="B267" s="2">
        <v>26677</v>
      </c>
    </row>
    <row r="268" spans="1:2" x14ac:dyDescent="0.25">
      <c r="A268" s="3" t="s">
        <v>94</v>
      </c>
      <c r="B268" s="4">
        <f>SUM(B266:B267)</f>
        <v>118521</v>
      </c>
    </row>
    <row r="269" spans="1:2" x14ac:dyDescent="0.25">
      <c r="A269" t="s">
        <v>95</v>
      </c>
      <c r="B269" s="2">
        <v>32678</v>
      </c>
    </row>
    <row r="270" spans="1:2" x14ac:dyDescent="0.25">
      <c r="A270" t="s">
        <v>96</v>
      </c>
      <c r="B270" s="2">
        <v>58518</v>
      </c>
    </row>
    <row r="271" spans="1:2" x14ac:dyDescent="0.25">
      <c r="A271" s="3" t="s">
        <v>44</v>
      </c>
      <c r="B271" s="4">
        <f>SUM(B269:B270)</f>
        <v>91196</v>
      </c>
    </row>
    <row r="272" spans="1:2" x14ac:dyDescent="0.25">
      <c r="A272" s="3" t="s">
        <v>97</v>
      </c>
      <c r="B272" s="2">
        <f>B268+B271</f>
        <v>209717</v>
      </c>
    </row>
    <row r="273" spans="1:2" x14ac:dyDescent="0.25">
      <c r="A273" s="3" t="s">
        <v>49</v>
      </c>
      <c r="B273" s="2">
        <f>B9+B10</f>
        <v>209717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B03A-61A1-40E0-9030-CF65AD818B06}">
  <dimension ref="A1:F29"/>
  <sheetViews>
    <sheetView workbookViewId="0">
      <selection activeCell="D1" sqref="D1:F13"/>
    </sheetView>
  </sheetViews>
  <sheetFormatPr defaultRowHeight="15" x14ac:dyDescent="0.25"/>
  <cols>
    <col min="4" max="4" width="40" bestFit="1" customWidth="1"/>
    <col min="5" max="5" width="21.85546875" bestFit="1" customWidth="1"/>
  </cols>
  <sheetData>
    <row r="1" spans="1:6" x14ac:dyDescent="0.25">
      <c r="A1" t="s">
        <v>33</v>
      </c>
      <c r="B1" s="2">
        <v>819901</v>
      </c>
      <c r="D1" t="s">
        <v>181</v>
      </c>
      <c r="E1" t="s">
        <v>12</v>
      </c>
      <c r="F1" s="2">
        <f>B1+B2</f>
        <v>810408</v>
      </c>
    </row>
    <row r="2" spans="1:6" x14ac:dyDescent="0.25">
      <c r="A2" t="s">
        <v>34</v>
      </c>
      <c r="B2" s="2">
        <v>-9493</v>
      </c>
      <c r="D2" t="s">
        <v>181</v>
      </c>
      <c r="E2" t="s">
        <v>13</v>
      </c>
      <c r="F2" s="2">
        <f>B4+B5</f>
        <v>1364228</v>
      </c>
    </row>
    <row r="3" spans="1:6" x14ac:dyDescent="0.25">
      <c r="A3" s="3" t="s">
        <v>53</v>
      </c>
      <c r="B3" s="4">
        <f>B1+B2</f>
        <v>810408</v>
      </c>
      <c r="D3" t="s">
        <v>181</v>
      </c>
      <c r="E3" t="s">
        <v>14</v>
      </c>
      <c r="F3" s="2">
        <f>B7+B9</f>
        <v>1527772</v>
      </c>
    </row>
    <row r="4" spans="1:6" x14ac:dyDescent="0.25">
      <c r="A4" t="s">
        <v>33</v>
      </c>
      <c r="B4" s="2">
        <v>1364918</v>
      </c>
      <c r="D4" t="s">
        <v>38</v>
      </c>
      <c r="E4" t="s">
        <v>14</v>
      </c>
      <c r="F4" s="2">
        <f>B8</f>
        <v>2084821</v>
      </c>
    </row>
    <row r="5" spans="1:6" x14ac:dyDescent="0.25">
      <c r="A5" t="s">
        <v>34</v>
      </c>
      <c r="B5" s="2">
        <v>-690</v>
      </c>
      <c r="D5" t="s">
        <v>181</v>
      </c>
      <c r="E5" t="s">
        <v>15</v>
      </c>
      <c r="F5" s="2">
        <f>B11+B12</f>
        <v>684792</v>
      </c>
    </row>
    <row r="6" spans="1:6" x14ac:dyDescent="0.25">
      <c r="A6" s="3" t="s">
        <v>54</v>
      </c>
      <c r="B6" s="4">
        <f>SUM(B4:B5)</f>
        <v>1364228</v>
      </c>
      <c r="D6" t="s">
        <v>181</v>
      </c>
      <c r="E6" t="s">
        <v>16</v>
      </c>
      <c r="F6" s="2">
        <f>B14+B16</f>
        <v>255728</v>
      </c>
    </row>
    <row r="7" spans="1:6" x14ac:dyDescent="0.25">
      <c r="A7" t="s">
        <v>33</v>
      </c>
      <c r="B7" s="2">
        <v>1690205</v>
      </c>
      <c r="D7" t="s">
        <v>38</v>
      </c>
      <c r="E7" t="s">
        <v>16</v>
      </c>
      <c r="F7" s="2">
        <f>B15</f>
        <v>77742</v>
      </c>
    </row>
    <row r="8" spans="1:6" x14ac:dyDescent="0.25">
      <c r="A8" t="s">
        <v>38</v>
      </c>
      <c r="B8" s="2">
        <v>2084821</v>
      </c>
      <c r="D8" t="s">
        <v>181</v>
      </c>
      <c r="E8" t="s">
        <v>182</v>
      </c>
      <c r="F8" s="2">
        <f>B18+B20</f>
        <v>326899</v>
      </c>
    </row>
    <row r="9" spans="1:6" x14ac:dyDescent="0.25">
      <c r="A9" t="s">
        <v>34</v>
      </c>
      <c r="B9" s="2">
        <v>-162433</v>
      </c>
      <c r="D9" t="s">
        <v>38</v>
      </c>
      <c r="E9" t="s">
        <v>182</v>
      </c>
      <c r="F9" s="2">
        <f>B19</f>
        <v>3358</v>
      </c>
    </row>
    <row r="10" spans="1:6" x14ac:dyDescent="0.25">
      <c r="A10" s="3" t="s">
        <v>55</v>
      </c>
      <c r="B10" s="4">
        <f>SUM(B7:B9)</f>
        <v>3612593</v>
      </c>
      <c r="D10" t="s">
        <v>181</v>
      </c>
      <c r="E10" t="s">
        <v>17</v>
      </c>
      <c r="F10" s="2">
        <f>B22+B24</f>
        <v>922615</v>
      </c>
    </row>
    <row r="11" spans="1:6" x14ac:dyDescent="0.25">
      <c r="A11" t="s">
        <v>33</v>
      </c>
      <c r="B11" s="2">
        <v>686271</v>
      </c>
      <c r="D11" t="s">
        <v>38</v>
      </c>
      <c r="E11" t="s">
        <v>17</v>
      </c>
      <c r="F11" s="2">
        <f>B23</f>
        <v>83792</v>
      </c>
    </row>
    <row r="12" spans="1:6" x14ac:dyDescent="0.25">
      <c r="A12" t="s">
        <v>34</v>
      </c>
      <c r="B12" s="2">
        <v>-1479</v>
      </c>
      <c r="D12" t="s">
        <v>181</v>
      </c>
      <c r="E12" t="s">
        <v>18</v>
      </c>
      <c r="F12" s="2">
        <f>B26+B28</f>
        <v>375578</v>
      </c>
    </row>
    <row r="13" spans="1:6" x14ac:dyDescent="0.25">
      <c r="A13" s="3" t="s">
        <v>56</v>
      </c>
      <c r="B13" s="4">
        <f>SUM(B11:B12)</f>
        <v>684792</v>
      </c>
      <c r="D13" t="s">
        <v>38</v>
      </c>
      <c r="E13" t="s">
        <v>18</v>
      </c>
      <c r="F13" s="2">
        <f>B27</f>
        <v>196492</v>
      </c>
    </row>
    <row r="14" spans="1:6" x14ac:dyDescent="0.25">
      <c r="A14" t="s">
        <v>33</v>
      </c>
      <c r="B14" s="2">
        <v>276433</v>
      </c>
    </row>
    <row r="15" spans="1:6" x14ac:dyDescent="0.25">
      <c r="A15" t="s">
        <v>38</v>
      </c>
      <c r="B15" s="2">
        <v>77742</v>
      </c>
    </row>
    <row r="16" spans="1:6" x14ac:dyDescent="0.25">
      <c r="A16" t="s">
        <v>34</v>
      </c>
      <c r="B16" s="2">
        <v>-20705</v>
      </c>
    </row>
    <row r="17" spans="1:2" x14ac:dyDescent="0.25">
      <c r="A17" s="3" t="s">
        <v>57</v>
      </c>
      <c r="B17" s="4">
        <f>SUM(B14:B16)</f>
        <v>333470</v>
      </c>
    </row>
    <row r="18" spans="1:2" x14ac:dyDescent="0.25">
      <c r="A18" t="s">
        <v>33</v>
      </c>
      <c r="B18" s="2">
        <v>330022</v>
      </c>
    </row>
    <row r="19" spans="1:2" x14ac:dyDescent="0.25">
      <c r="A19" t="s">
        <v>38</v>
      </c>
      <c r="B19" s="2">
        <v>3358</v>
      </c>
    </row>
    <row r="20" spans="1:2" x14ac:dyDescent="0.25">
      <c r="A20" t="s">
        <v>34</v>
      </c>
      <c r="B20" s="2">
        <v>-3123</v>
      </c>
    </row>
    <row r="21" spans="1:2" x14ac:dyDescent="0.25">
      <c r="A21" s="3" t="s">
        <v>58</v>
      </c>
      <c r="B21" s="4">
        <f>SUM(B18:B20)</f>
        <v>330257</v>
      </c>
    </row>
    <row r="22" spans="1:2" x14ac:dyDescent="0.25">
      <c r="A22" t="s">
        <v>33</v>
      </c>
      <c r="B22" s="2">
        <v>962862</v>
      </c>
    </row>
    <row r="23" spans="1:2" x14ac:dyDescent="0.25">
      <c r="A23" t="s">
        <v>38</v>
      </c>
      <c r="B23" s="2">
        <v>83792</v>
      </c>
    </row>
    <row r="24" spans="1:2" x14ac:dyDescent="0.25">
      <c r="A24" t="s">
        <v>34</v>
      </c>
      <c r="B24" s="2">
        <v>-40247</v>
      </c>
    </row>
    <row r="25" spans="1:2" x14ac:dyDescent="0.25">
      <c r="A25" s="3" t="s">
        <v>59</v>
      </c>
      <c r="B25" s="4">
        <f>SUM(B22:B24)</f>
        <v>1006407</v>
      </c>
    </row>
    <row r="26" spans="1:2" x14ac:dyDescent="0.25">
      <c r="A26" t="s">
        <v>33</v>
      </c>
      <c r="B26" s="2">
        <v>431203</v>
      </c>
    </row>
    <row r="27" spans="1:2" x14ac:dyDescent="0.25">
      <c r="A27" t="s">
        <v>38</v>
      </c>
      <c r="B27" s="2">
        <v>196492</v>
      </c>
    </row>
    <row r="28" spans="1:2" x14ac:dyDescent="0.25">
      <c r="A28" t="s">
        <v>34</v>
      </c>
      <c r="B28" s="2">
        <v>-55625</v>
      </c>
    </row>
    <row r="29" spans="1:2" x14ac:dyDescent="0.25">
      <c r="A29" s="3" t="s">
        <v>60</v>
      </c>
      <c r="B29" s="4">
        <f>SUM(B26:B28)</f>
        <v>572070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6B32-F4EB-4C5E-9E88-B60995AAC991}">
  <dimension ref="A3:D18"/>
  <sheetViews>
    <sheetView workbookViewId="0">
      <selection activeCell="A37" sqref="A37"/>
    </sheetView>
  </sheetViews>
  <sheetFormatPr defaultRowHeight="15" x14ac:dyDescent="0.25"/>
  <cols>
    <col min="1" max="1" width="33.28515625" bestFit="1" customWidth="1"/>
  </cols>
  <sheetData>
    <row r="3" spans="1:2" x14ac:dyDescent="0.25">
      <c r="A3" t="s">
        <v>105</v>
      </c>
      <c r="B3" s="2">
        <f>'2024_financial_report_raw_data'!B116+'2024_financial_report_raw_data'!B120</f>
        <v>3150974</v>
      </c>
    </row>
    <row r="4" spans="1:2" x14ac:dyDescent="0.25">
      <c r="A4" t="s">
        <v>140</v>
      </c>
      <c r="B4" s="2">
        <f>'2024_financial_report_raw_data'!B123+'2024_financial_report_raw_data'!B126</f>
        <v>821580</v>
      </c>
    </row>
    <row r="5" spans="1:2" x14ac:dyDescent="0.25">
      <c r="A5" t="s">
        <v>110</v>
      </c>
      <c r="B5" s="2">
        <f>'2024_financial_report_raw_data'!B129</f>
        <v>49702</v>
      </c>
    </row>
    <row r="6" spans="1:2" x14ac:dyDescent="0.25">
      <c r="A6" t="s">
        <v>141</v>
      </c>
      <c r="B6" s="2">
        <f>'2024_financial_report_raw_data'!B133+'2024_financial_report_raw_data'!B137+'2024_financial_report_raw_data'!B141</f>
        <v>808219</v>
      </c>
    </row>
    <row r="7" spans="1:2" x14ac:dyDescent="0.25">
      <c r="A7" t="s">
        <v>142</v>
      </c>
      <c r="B7" s="2">
        <f>'2024_financial_report_raw_data'!B145+'2024_financial_report_raw_data'!B149</f>
        <v>301259</v>
      </c>
    </row>
    <row r="8" spans="1:2" x14ac:dyDescent="0.25">
      <c r="A8" t="s">
        <v>119</v>
      </c>
      <c r="B8" s="2">
        <f>'2024_financial_report_raw_data'!B154+'2024_financial_report_raw_data'!B151</f>
        <v>42040</v>
      </c>
    </row>
    <row r="9" spans="1:2" x14ac:dyDescent="0.25">
      <c r="A9" t="s">
        <v>143</v>
      </c>
      <c r="B9" s="2">
        <f>'2024_financial_report_raw_data'!B158+'2024_financial_report_raw_data'!B162</f>
        <v>470966</v>
      </c>
    </row>
    <row r="10" spans="1:2" x14ac:dyDescent="0.25">
      <c r="A10" t="s">
        <v>18</v>
      </c>
      <c r="B10" s="2">
        <f>'2024_financial_report_raw_data'!B172+'2024_financial_report_raw_data'!B175+'2024_financial_report_raw_data'!B169+'2024_financial_report_raw_data'!B166</f>
        <v>572072</v>
      </c>
    </row>
    <row r="11" spans="1:2" x14ac:dyDescent="0.25">
      <c r="A11" t="s">
        <v>144</v>
      </c>
      <c r="B11" s="2">
        <f>'2024_financial_report_raw_data'!B177+'2024_financial_report_raw_data'!B179+'2024_financial_report_raw_data'!B182+'2024_financial_report_raw_data'!B184+'2024_financial_report_raw_data'!B186+'2024_financial_report_raw_data'!B188+'2024_financial_report_raw_data'!B190+'2024_financial_report_raw_data'!B192+'2024_financial_report_raw_data'!B194+'2024_financial_report_raw_data'!B198</f>
        <v>1225119</v>
      </c>
    </row>
    <row r="12" spans="1:2" x14ac:dyDescent="0.25">
      <c r="A12" s="3" t="s">
        <v>146</v>
      </c>
      <c r="B12" s="4">
        <f>SUM(B3:B11)</f>
        <v>7441931</v>
      </c>
    </row>
    <row r="13" spans="1:2" x14ac:dyDescent="0.25">
      <c r="A13" t="s">
        <v>135</v>
      </c>
      <c r="B13" s="2">
        <f>'2024_financial_report_raw_data'!B201</f>
        <v>1141766</v>
      </c>
    </row>
    <row r="14" spans="1:2" x14ac:dyDescent="0.25">
      <c r="A14" t="s">
        <v>145</v>
      </c>
      <c r="B14" s="2">
        <f>'2024_financial_report_raw_data'!B204</f>
        <v>23907</v>
      </c>
    </row>
    <row r="15" spans="1:2" x14ac:dyDescent="0.25">
      <c r="A15" t="s">
        <v>137</v>
      </c>
      <c r="B15" s="2">
        <f>'2024_financial_report_raw_data'!B208</f>
        <v>106621</v>
      </c>
    </row>
    <row r="16" spans="1:2" x14ac:dyDescent="0.25">
      <c r="A16" s="3" t="s">
        <v>147</v>
      </c>
      <c r="B16" s="4">
        <f>SUM(B13:B15)</f>
        <v>1272294</v>
      </c>
    </row>
    <row r="17" spans="1:4" x14ac:dyDescent="0.25">
      <c r="B17" s="4">
        <f>B12+B16</f>
        <v>8714225</v>
      </c>
      <c r="D17" s="2"/>
    </row>
    <row r="18" spans="1:4" x14ac:dyDescent="0.25">
      <c r="A18" t="s">
        <v>49</v>
      </c>
      <c r="B18" s="4">
        <f>'2024_financial_report_raw_data'!B21</f>
        <v>8714225</v>
      </c>
      <c r="D18" s="2">
        <f>B18-B12</f>
        <v>1272294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Checker</vt:lpstr>
      <vt:lpstr>cleaned_data</vt:lpstr>
      <vt:lpstr>tables_for_summary</vt:lpstr>
      <vt:lpstr>Revenue</vt:lpstr>
      <vt:lpstr>Expenses</vt:lpstr>
      <vt:lpstr>tca_net_calculation</vt:lpstr>
      <vt:lpstr>2024_financial_report_raw_data</vt:lpstr>
      <vt:lpstr>Sheet1</vt:lpstr>
      <vt:lpstr>miscellaneous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Tsao</dc:creator>
  <cp:lastModifiedBy>Boris Tsao</cp:lastModifiedBy>
  <dcterms:created xsi:type="dcterms:W3CDTF">2025-11-22T15:54:42Z</dcterms:created>
  <dcterms:modified xsi:type="dcterms:W3CDTF">2025-11-23T15:41:23Z</dcterms:modified>
</cp:coreProperties>
</file>